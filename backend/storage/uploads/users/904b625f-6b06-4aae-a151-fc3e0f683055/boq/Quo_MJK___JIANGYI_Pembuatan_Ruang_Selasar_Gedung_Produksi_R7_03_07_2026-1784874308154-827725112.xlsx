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~Love Alienware\Desktop\Project Estimator\PT. MJK\ESTIMATOR\PT. JIANGYI\06. Pembuatan Ruang Selasar Gedung Produksi\REVISI 7\"/>
    </mc:Choice>
  </mc:AlternateContent>
  <xr:revisionPtr revIDLastSave="0" documentId="13_ncr:1_{D76D21A4-E552-44CA-8E17-BC94AAD47EEB}" xr6:coauthVersionLast="47" xr6:coauthVersionMax="47" xr10:uidLastSave="{00000000-0000-0000-0000-000000000000}"/>
  <bookViews>
    <workbookView xWindow="765" yWindow="165" windowWidth="19470" windowHeight="15480" xr2:uid="{D60D20D6-CA4B-4CBC-9ADB-7744BEFE244F}"/>
  </bookViews>
  <sheets>
    <sheet name="BOQ" sheetId="1" r:id="rId1"/>
    <sheet name="VOL" sheetId="2" r:id="rId2"/>
  </sheets>
  <definedNames>
    <definedName name="_xlnm.Print_Titles" localSheetId="0">BOQ!$16:$19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4" i="2" l="1"/>
  <c r="B94" i="2"/>
  <c r="C93" i="2"/>
  <c r="B93" i="2"/>
  <c r="C92" i="2"/>
  <c r="B92" i="2"/>
  <c r="C91" i="2"/>
  <c r="B91" i="2"/>
  <c r="C90" i="2"/>
  <c r="B90" i="2"/>
  <c r="C88" i="2"/>
  <c r="B88" i="2"/>
  <c r="C87" i="2"/>
  <c r="B87" i="2"/>
  <c r="C86" i="2"/>
  <c r="B86" i="2"/>
  <c r="C85" i="2"/>
  <c r="B85" i="2"/>
  <c r="C84" i="2"/>
  <c r="B84" i="2"/>
  <c r="S83" i="2"/>
  <c r="W83" i="2" s="1"/>
  <c r="C83" i="2"/>
  <c r="B83" i="2"/>
  <c r="C82" i="2"/>
  <c r="B82" i="2"/>
  <c r="C81" i="2"/>
  <c r="B81" i="2"/>
  <c r="W79" i="2"/>
  <c r="W78" i="2"/>
  <c r="R78" i="2"/>
  <c r="W77" i="2"/>
  <c r="W76" i="2"/>
  <c r="C76" i="2"/>
  <c r="B76" i="2"/>
  <c r="R75" i="2"/>
  <c r="Q75" i="2"/>
  <c r="W75" i="2" s="1"/>
  <c r="C75" i="2"/>
  <c r="B75" i="2"/>
  <c r="W74" i="2"/>
  <c r="C74" i="2"/>
  <c r="B74" i="2"/>
  <c r="C73" i="2"/>
  <c r="B73" i="2"/>
  <c r="C71" i="2"/>
  <c r="B71" i="2"/>
  <c r="C69" i="2"/>
  <c r="B69" i="2"/>
  <c r="C67" i="2"/>
  <c r="B67" i="2"/>
  <c r="C66" i="2"/>
  <c r="B66" i="2"/>
  <c r="C65" i="2"/>
  <c r="B65" i="2"/>
  <c r="C64" i="2"/>
  <c r="B64" i="2"/>
  <c r="W63" i="2"/>
  <c r="C63" i="2"/>
  <c r="B63" i="2"/>
  <c r="C61" i="2"/>
  <c r="B61" i="2"/>
  <c r="C60" i="2"/>
  <c r="B60" i="2"/>
  <c r="C59" i="2"/>
  <c r="B59" i="2"/>
  <c r="C58" i="2"/>
  <c r="B58" i="2"/>
  <c r="C57" i="2"/>
  <c r="B57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S47" i="2"/>
  <c r="C45" i="2"/>
  <c r="B45" i="2"/>
  <c r="S42" i="2"/>
  <c r="S43" i="2" s="1"/>
  <c r="C41" i="2"/>
  <c r="B41" i="2"/>
  <c r="C39" i="2"/>
  <c r="B39" i="2"/>
  <c r="W37" i="2"/>
  <c r="S36" i="2"/>
  <c r="R47" i="2" s="1"/>
  <c r="Q36" i="2"/>
  <c r="S35" i="2"/>
  <c r="R46" i="2" s="1"/>
  <c r="Q35" i="2"/>
  <c r="C34" i="2"/>
  <c r="B34" i="2"/>
  <c r="C33" i="2"/>
  <c r="B33" i="2"/>
  <c r="C32" i="2"/>
  <c r="B32" i="2"/>
  <c r="U30" i="2"/>
  <c r="W30" i="2" s="1"/>
  <c r="U29" i="2"/>
  <c r="W29" i="2" s="1"/>
  <c r="S28" i="2"/>
  <c r="W28" i="2" s="1"/>
  <c r="S27" i="2"/>
  <c r="W27" i="2" s="1"/>
  <c r="W26" i="2"/>
  <c r="S25" i="2"/>
  <c r="W25" i="2" s="1"/>
  <c r="S24" i="2"/>
  <c r="W24" i="2" s="1"/>
  <c r="W17" i="2" s="1"/>
  <c r="W23" i="2"/>
  <c r="C22" i="2"/>
  <c r="B22" i="2"/>
  <c r="C21" i="2"/>
  <c r="B21" i="2"/>
  <c r="C20" i="2"/>
  <c r="B20" i="2"/>
  <c r="C19" i="2"/>
  <c r="B19" i="2"/>
  <c r="C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B2" i="2"/>
  <c r="A105" i="1"/>
  <c r="D78" i="1"/>
  <c r="C78" i="1"/>
  <c r="F78" i="1" s="1"/>
  <c r="D72" i="1"/>
  <c r="C72" i="1"/>
  <c r="F72" i="1" s="1"/>
  <c r="D71" i="1"/>
  <c r="D70" i="1"/>
  <c r="D69" i="1"/>
  <c r="D68" i="1"/>
  <c r="C68" i="1"/>
  <c r="F68" i="1" s="1"/>
  <c r="D67" i="1"/>
  <c r="D66" i="1"/>
  <c r="C66" i="1"/>
  <c r="F66" i="1" s="1"/>
  <c r="D61" i="1"/>
  <c r="C61" i="1"/>
  <c r="F61" i="1" s="1"/>
  <c r="D55" i="1"/>
  <c r="C55" i="1"/>
  <c r="F55" i="1" s="1"/>
  <c r="D49" i="1"/>
  <c r="C49" i="1"/>
  <c r="F49" i="1" s="1"/>
  <c r="D41" i="1"/>
  <c r="C41" i="1"/>
  <c r="F41" i="1" s="1"/>
  <c r="D39" i="1"/>
  <c r="D38" i="1"/>
  <c r="D37" i="1"/>
  <c r="D36" i="1"/>
  <c r="D27" i="1"/>
  <c r="D24" i="1"/>
  <c r="C24" i="1"/>
  <c r="F24" i="1" s="1"/>
  <c r="D23" i="1"/>
  <c r="C23" i="1"/>
  <c r="F23" i="1" s="1"/>
  <c r="F22" i="1"/>
  <c r="D22" i="1"/>
  <c r="C22" i="1"/>
  <c r="D21" i="1"/>
  <c r="C21" i="1"/>
  <c r="F21" i="1" s="1"/>
  <c r="E5" i="1"/>
  <c r="C71" i="1" l="1"/>
  <c r="F71" i="1" s="1"/>
  <c r="Y83" i="2"/>
  <c r="Z83" i="2" s="1"/>
  <c r="Y76" i="2"/>
  <c r="Z76" i="2" s="1"/>
  <c r="W81" i="2"/>
  <c r="C67" i="1"/>
  <c r="F67" i="1" s="1"/>
  <c r="Y75" i="2"/>
  <c r="Z75" i="2"/>
  <c r="Y74" i="2"/>
  <c r="Z74" i="2"/>
  <c r="W36" i="2"/>
  <c r="Q47" i="2"/>
  <c r="W35" i="2"/>
  <c r="W34" i="2" s="1"/>
  <c r="Q46" i="2"/>
  <c r="C27" i="1"/>
  <c r="F27" i="1" s="1"/>
  <c r="Z17" i="2"/>
  <c r="Y17" i="2"/>
  <c r="W82" i="2" l="1"/>
  <c r="Y81" i="2"/>
  <c r="Z81" i="2" s="1"/>
  <c r="C69" i="1"/>
  <c r="F69" i="1" s="1"/>
  <c r="W47" i="2"/>
  <c r="Q43" i="2"/>
  <c r="W43" i="2" s="1"/>
  <c r="Y34" i="2"/>
  <c r="Z34" i="2" s="1"/>
  <c r="W39" i="2"/>
  <c r="C36" i="1"/>
  <c r="F36" i="1" s="1"/>
  <c r="W46" i="2"/>
  <c r="W45" i="2" s="1"/>
  <c r="Q42" i="2"/>
  <c r="W42" i="2" s="1"/>
  <c r="W41" i="2" s="1"/>
  <c r="C70" i="1" l="1"/>
  <c r="F70" i="1" s="1"/>
  <c r="Y82" i="2"/>
  <c r="Z82" i="2" s="1"/>
  <c r="C37" i="1"/>
  <c r="F37" i="1" s="1"/>
  <c r="F84" i="1" s="1"/>
  <c r="E86" i="1" s="1"/>
  <c r="E88" i="1" s="1"/>
  <c r="Y39" i="2"/>
  <c r="Z39" i="2" s="1"/>
  <c r="Y45" i="2"/>
  <c r="Z45" i="2"/>
  <c r="C39" i="1"/>
  <c r="F39" i="1" s="1"/>
  <c r="C38" i="1"/>
  <c r="F38" i="1" s="1"/>
  <c r="Y41" i="2"/>
  <c r="Z41" i="2" s="1"/>
</calcChain>
</file>

<file path=xl/sharedStrings.xml><?xml version="1.0" encoding="utf-8"?>
<sst xmlns="http://schemas.openxmlformats.org/spreadsheetml/2006/main" count="201" uniqueCount="128">
  <si>
    <t>QUOTATION</t>
  </si>
  <si>
    <t>Doc No. 文件号:</t>
  </si>
  <si>
    <t>QUO/PTJMTI/BBS/PRSG/4/26/R127</t>
  </si>
  <si>
    <t>Date日期:</t>
  </si>
  <si>
    <t>Payment Terms 付款条件:</t>
  </si>
  <si>
    <t>DP - 40% after signing contract</t>
  </si>
  <si>
    <t>预付款 - 合同签署后支付 40%</t>
  </si>
  <si>
    <t>To:</t>
  </si>
  <si>
    <t>PT. JIANGYI MOLD TECHNOLOGY INDONESIA</t>
  </si>
  <si>
    <t>Payment 1: 30% after 60% work progress</t>
  </si>
  <si>
    <t xml:space="preserve">Bangsri Utara, Bangsri, Kec. Bulakamba, Kabupaten Brebes, </t>
  </si>
  <si>
    <t>第一期付款：支付 30% 工程进度60%</t>
  </si>
  <si>
    <t>Jawa Tengah 52253</t>
  </si>
  <si>
    <t>Payment 2: 25% after 100% work progress</t>
  </si>
  <si>
    <t>Attn:</t>
  </si>
  <si>
    <t>第二期付款：支付 25%工程进度100%</t>
  </si>
  <si>
    <t>Tel:</t>
  </si>
  <si>
    <t>Retention: 5% after BAST</t>
  </si>
  <si>
    <t>质保金：项目验收（BAST）后支付 5%</t>
  </si>
  <si>
    <t>Project项目: PEMBUATAN RUANG SELASAR GEDUNG PRODUKSI 生产车间连廊空间建设</t>
  </si>
  <si>
    <t xml:space="preserve">No. 
号  </t>
  </si>
  <si>
    <t>Description
工作项目</t>
  </si>
  <si>
    <t>Qty
数量</t>
  </si>
  <si>
    <t>Unit
单位</t>
  </si>
  <si>
    <t>Harga Satuan 单价</t>
  </si>
  <si>
    <t>Jumlah Harga 总价</t>
  </si>
  <si>
    <t>Brand Spek
品牌规格</t>
  </si>
  <si>
    <t>(Rp)</t>
  </si>
  <si>
    <t>A</t>
  </si>
  <si>
    <t>PEKERJAAN PERSIAPAN 施工准备工作</t>
  </si>
  <si>
    <t>Mob dan Demobilisasi 设备和人员的进出场</t>
  </si>
  <si>
    <t>Alat Bantu Pekerjaan 施工辅助工具</t>
  </si>
  <si>
    <t xml:space="preserve">Safety </t>
  </si>
  <si>
    <t>Cleaning 清理</t>
  </si>
  <si>
    <t>B</t>
  </si>
  <si>
    <t>RUANG SELASAR GEDUNG PRODUKSI (A &amp; B) A栋及B栋生产车间走廊区域</t>
  </si>
  <si>
    <t>Pekerjaan Partisi UPVC 隔断工程</t>
  </si>
  <si>
    <t>Spek :</t>
  </si>
  <si>
    <t>-</t>
  </si>
  <si>
    <t>Partisi UPVC Single Layer 单层UPVC隔断</t>
  </si>
  <si>
    <t>Alderon/Setara</t>
  </si>
  <si>
    <t>Siku 50x50mm 角钢</t>
  </si>
  <si>
    <t>KS/LS/Setara</t>
  </si>
  <si>
    <t>CNP 100x50x2,3mm C型钢</t>
  </si>
  <si>
    <t>Pengecatan Rangka Partisi 隔断骨架油漆施工</t>
  </si>
  <si>
    <t>Ftalit - Kansai</t>
  </si>
  <si>
    <t>Pekerjaan Cor Lantai 地面混凝土浇筑工程</t>
  </si>
  <si>
    <t>scoope :</t>
  </si>
  <si>
    <t>Plastik Cor 混凝土保护塑料膜</t>
  </si>
  <si>
    <t>Wiremesh M8, 2 Lapis 钢筋网片</t>
  </si>
  <si>
    <t>Bekisting 模板</t>
  </si>
  <si>
    <t>Multipleks</t>
  </si>
  <si>
    <t>Beton K-350 混凝土</t>
  </si>
  <si>
    <t>Ready Mix</t>
  </si>
  <si>
    <t>Pintu Double Swing uk. 2200x4000mm 双开门</t>
  </si>
  <si>
    <t>Kusen Hollow 100x100x3mm 门框采用100x100x3mm方管</t>
  </si>
  <si>
    <t>Siku 50x50x5mm 角钢</t>
  </si>
  <si>
    <t>Finishing Cat Besi 钢结构油漆饰面</t>
  </si>
  <si>
    <t>Aksesoris 门配件</t>
  </si>
  <si>
    <t>Jendela Sliding (J1), uk. 144x140 cm J1型推拉窗，尺寸144×140cm</t>
  </si>
  <si>
    <t>Daun Pintu Aluminium 4" 铝合金窗扇</t>
  </si>
  <si>
    <t>Dacon/Mulia/setara</t>
  </si>
  <si>
    <t>Kaca Polos 5mm 5mm透明玻璃</t>
  </si>
  <si>
    <t>Mulia/setara</t>
  </si>
  <si>
    <t>Aksesoris 配件</t>
  </si>
  <si>
    <t>Dekson/setara</t>
  </si>
  <si>
    <t>Tutup Manhole uk. 600x600mm 检查井盖板，尺寸600x600mm</t>
  </si>
  <si>
    <t>Plat Bordes 4,5mm 4.5mm花纹钢板</t>
  </si>
  <si>
    <t>Tanggulan 10cm 高挡土埂</t>
  </si>
  <si>
    <t>*Note : Pekerjaan 2 Unit Ruang Selasar 两间连廊空间施工</t>
  </si>
  <si>
    <t>C</t>
  </si>
  <si>
    <t>PENAMBAHAN SEKAT DINDING, PINTU DAN JENDELA KANTIN KARYAWAN 员工食堂隔墙、门窗增设工程</t>
  </si>
  <si>
    <t>Bongkaran Dinding Existing 现有墙体拆除工程</t>
  </si>
  <si>
    <t>Perapihan Dinding 墙面修复及整理工程</t>
  </si>
  <si>
    <t>Dinding Bata Ringan 轻质砖墙</t>
  </si>
  <si>
    <t>Plesteran &amp; Acian Dinding 墙面抹灰及找平</t>
  </si>
  <si>
    <t>Finishing Cat Dinding 墙面油漆饰面</t>
  </si>
  <si>
    <t>Vinilex/Setara</t>
  </si>
  <si>
    <t>Kolom &amp; Balok Praktis 构造柱及圈梁</t>
  </si>
  <si>
    <t>Pintu Single Swing uk. 100x220cm 单开平开门 尺寸100×220厘米</t>
  </si>
  <si>
    <t>Kusen Aluminium 4" Warna Putih 铝合金框</t>
  </si>
  <si>
    <t>Kaca Rayban Hitam</t>
  </si>
  <si>
    <t>Jendela Sliding (J1), uk. 144x120 cm J1型推拉窗，尺寸144×120cm</t>
  </si>
  <si>
    <t>SUBTOTAL 小计</t>
  </si>
  <si>
    <t>TOTAL 合计</t>
  </si>
  <si>
    <t>Bank Account 银行账号:</t>
  </si>
  <si>
    <t>DISCOUNT 折扣</t>
  </si>
  <si>
    <t>Bank BCA</t>
  </si>
  <si>
    <t>GRAND TOTAL 总计</t>
  </si>
  <si>
    <t>No. Rek: 460-447-4444</t>
  </si>
  <si>
    <t>PT. Modern Jaya Konstruksi</t>
  </si>
  <si>
    <t>NOTE:</t>
  </si>
  <si>
    <t>1. The price stated above included (eg: installation, transportation fees etc.) 以上所述价格包括（例如：安装费，运输费等）</t>
  </si>
  <si>
    <t>2. The price stated above not included PPN 11% and include PPH 以上所述价格不包括11%的增值税，并包括个人所得税。</t>
  </si>
  <si>
    <t xml:space="preserve">We hope you find our quotation favorable and kindly confirm your acceptance by signing this document: </t>
  </si>
  <si>
    <t>我们希望您对我们的报价感到满意，并请通过签署此文件确认您的接受。</t>
  </si>
  <si>
    <t xml:space="preserve">Name 名字 : </t>
  </si>
  <si>
    <t>Name 名字 :</t>
  </si>
  <si>
    <t>PT. MODERN JAYA KONSTRUKSI</t>
  </si>
  <si>
    <t>Date 日期:</t>
  </si>
  <si>
    <t>PT. MJK</t>
  </si>
  <si>
    <t>Back Up Volume</t>
  </si>
  <si>
    <t>No</t>
  </si>
  <si>
    <t>Uraian Pekerjaan</t>
  </si>
  <si>
    <t>Dia.</t>
  </si>
  <si>
    <t>Formation Of Bar Member</t>
  </si>
  <si>
    <t>Dimensi</t>
  </si>
  <si>
    <t>n</t>
  </si>
  <si>
    <t>Volume</t>
  </si>
  <si>
    <t>Sat</t>
  </si>
  <si>
    <t>Panjang</t>
  </si>
  <si>
    <t>Lebar</t>
  </si>
  <si>
    <t xml:space="preserve">tinggi </t>
  </si>
  <si>
    <t>Kg(m)</t>
  </si>
  <si>
    <t>qty</t>
  </si>
  <si>
    <t>(m)</t>
  </si>
  <si>
    <t>ls</t>
  </si>
  <si>
    <t>m2</t>
  </si>
  <si>
    <t>gedung A</t>
  </si>
  <si>
    <t>tampak depan</t>
  </si>
  <si>
    <t xml:space="preserve">tampak samping </t>
  </si>
  <si>
    <t>gedung B</t>
  </si>
  <si>
    <t>pengurangan pintu</t>
  </si>
  <si>
    <t>jendela</t>
  </si>
  <si>
    <t>Tutup manhole</t>
  </si>
  <si>
    <t>m3</t>
  </si>
  <si>
    <t>unit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</si>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</sst>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24"/>
      <color theme="4" tint="-0.249977111117893"/>
      <name val="Cambria"/>
      <family val="1"/>
    </font>
    <font>
      <sz val="11"/>
      <color theme="1"/>
      <name val="Cambria"/>
      <family val="1"/>
    </font>
    <font>
      <u/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Microsoft YaHei"/>
      <family val="2"/>
    </font>
    <font>
      <sz val="12"/>
      <color theme="1"/>
      <name val="Microsoft YaHei"/>
      <family val="2"/>
    </font>
    <font>
      <sz val="12"/>
      <color theme="1"/>
      <name val="Cambria"/>
      <family val="1"/>
      <charset val="1"/>
    </font>
    <font>
      <sz val="12"/>
      <color theme="1"/>
      <name val="Microsoft YaHei"/>
      <family val="2"/>
      <charset val="1"/>
    </font>
    <font>
      <sz val="11"/>
      <color theme="1"/>
      <name val="Cambria"/>
      <family val="1"/>
      <charset val="1"/>
    </font>
    <font>
      <b/>
      <sz val="12"/>
      <color theme="1"/>
      <name val="Cambria"/>
      <family val="1"/>
      <charset val="1"/>
    </font>
    <font>
      <b/>
      <sz val="12"/>
      <color theme="1"/>
      <name val="Microsoft YaHei"/>
      <family val="2"/>
      <charset val="1"/>
    </font>
    <font>
      <b/>
      <sz val="11"/>
      <color theme="1"/>
      <name val="Cambria"/>
      <family val="1"/>
      <charset val="1"/>
    </font>
    <font>
      <sz val="14"/>
      <color theme="1"/>
      <name val="Cambria"/>
      <family val="1"/>
    </font>
    <font>
      <b/>
      <sz val="13"/>
      <color theme="1"/>
      <name val="Cambria"/>
      <family val="1"/>
    </font>
    <font>
      <i/>
      <sz val="12"/>
      <color theme="1"/>
      <name val="Cambria"/>
      <family val="1"/>
    </font>
    <font>
      <sz val="13"/>
      <color theme="1"/>
      <name val="Cambria"/>
      <family val="1"/>
    </font>
    <font>
      <sz val="10"/>
      <color theme="1"/>
      <name val="Cambria"/>
      <family val="1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vertical="center" wrapText="1"/>
    </xf>
    <xf numFmtId="2" fontId="12" fillId="0" borderId="11" xfId="0" applyNumberFormat="1" applyFont="1" applyBorder="1" applyAlignment="1">
      <alignment horizontal="center" vertical="center"/>
    </xf>
    <xf numFmtId="43" fontId="12" fillId="0" borderId="11" xfId="0" applyNumberFormat="1" applyFont="1" applyBorder="1" applyAlignment="1">
      <alignment horizontal="center" vertical="center" wrapText="1"/>
    </xf>
    <xf numFmtId="165" fontId="12" fillId="0" borderId="11" xfId="2" applyNumberFormat="1" applyFont="1" applyBorder="1" applyAlignment="1">
      <alignment vertical="center"/>
    </xf>
    <xf numFmtId="0" fontId="12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3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2" fontId="14" fillId="0" borderId="11" xfId="0" applyNumberFormat="1" applyFont="1" applyBorder="1" applyAlignment="1">
      <alignment horizontal="center" vertical="center"/>
    </xf>
    <xf numFmtId="43" fontId="14" fillId="0" borderId="11" xfId="0" applyNumberFormat="1" applyFont="1" applyBorder="1" applyAlignment="1">
      <alignment horizontal="center" vertical="center" wrapText="1"/>
    </xf>
    <xf numFmtId="165" fontId="14" fillId="0" borderId="11" xfId="2" applyNumberFormat="1" applyFont="1" applyBorder="1" applyAlignment="1">
      <alignment vertical="center"/>
    </xf>
    <xf numFmtId="0" fontId="14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4" fillId="0" borderId="11" xfId="0" applyFont="1" applyBorder="1" applyAlignment="1">
      <alignment horizontal="center" vertical="center" wrapText="1"/>
    </xf>
    <xf numFmtId="0" fontId="13" fillId="0" borderId="10" xfId="0" quotePrefix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vertical="center" wrapText="1"/>
    </xf>
    <xf numFmtId="2" fontId="17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165" fontId="17" fillId="0" borderId="11" xfId="2" applyNumberFormat="1" applyFont="1" applyBorder="1" applyAlignment="1">
      <alignment vertical="center"/>
    </xf>
    <xf numFmtId="0" fontId="17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165" fontId="12" fillId="0" borderId="14" xfId="2" applyNumberFormat="1" applyFont="1" applyBorder="1" applyAlignment="1">
      <alignment vertical="center"/>
    </xf>
    <xf numFmtId="0" fontId="12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 wrapText="1"/>
    </xf>
    <xf numFmtId="2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65" fontId="12" fillId="0" borderId="17" xfId="2" applyNumberFormat="1" applyFont="1" applyBorder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 wrapText="1"/>
    </xf>
    <xf numFmtId="2" fontId="10" fillId="0" borderId="20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5" fontId="10" fillId="0" borderId="20" xfId="2" applyNumberFormat="1" applyFont="1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2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65" fontId="20" fillId="0" borderId="22" xfId="2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165" fontId="22" fillId="0" borderId="0" xfId="2" applyNumberFormat="1" applyFont="1" applyAlignment="1">
      <alignment horizontal="center" vertical="center"/>
    </xf>
    <xf numFmtId="165" fontId="20" fillId="0" borderId="23" xfId="2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5" fillId="0" borderId="0" xfId="2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23" fillId="0" borderId="24" xfId="0" applyFont="1" applyBorder="1" applyAlignment="1">
      <alignment vertical="center"/>
    </xf>
    <xf numFmtId="0" fontId="23" fillId="0" borderId="24" xfId="0" applyFont="1" applyBorder="1" applyAlignment="1">
      <alignment vertical="center" wrapText="1"/>
    </xf>
    <xf numFmtId="0" fontId="23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24" fillId="0" borderId="0" xfId="0" applyFont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25" xfId="0" applyFont="1" applyBorder="1"/>
    <xf numFmtId="0" fontId="25" fillId="0" borderId="25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6" fillId="0" borderId="27" xfId="0" applyFont="1" applyBorder="1" applyAlignment="1">
      <alignment vertical="center"/>
    </xf>
    <xf numFmtId="0" fontId="26" fillId="0" borderId="27" xfId="0" applyFont="1" applyBorder="1" applyAlignment="1">
      <alignment horizontal="right" vertical="center"/>
    </xf>
    <xf numFmtId="0" fontId="25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43" fontId="25" fillId="0" borderId="0" xfId="1" applyFont="1" applyAlignment="1">
      <alignment horizontal="center"/>
    </xf>
    <xf numFmtId="43" fontId="25" fillId="0" borderId="0" xfId="1" applyFont="1"/>
    <xf numFmtId="43" fontId="25" fillId="0" borderId="0" xfId="1" applyFont="1" applyAlignment="1">
      <alignment horizontal="right"/>
    </xf>
    <xf numFmtId="43" fontId="27" fillId="0" borderId="0" xfId="1" applyFont="1" applyAlignment="1">
      <alignment horizontal="center"/>
    </xf>
    <xf numFmtId="43" fontId="27" fillId="0" borderId="0" xfId="1" applyFont="1"/>
    <xf numFmtId="166" fontId="25" fillId="0" borderId="0" xfId="1" applyNumberFormat="1" applyFont="1" applyAlignment="1">
      <alignment horizontal="center"/>
    </xf>
    <xf numFmtId="166" fontId="27" fillId="0" borderId="0" xfId="1" applyNumberFormat="1" applyFont="1" applyAlignment="1">
      <alignment horizontal="center"/>
    </xf>
    <xf numFmtId="43" fontId="27" fillId="0" borderId="0" xfId="1" applyFont="1" applyAlignment="1">
      <alignment horizontal="right"/>
    </xf>
    <xf numFmtId="43" fontId="25" fillId="3" borderId="0" xfId="1" applyFont="1" applyFill="1"/>
    <xf numFmtId="43" fontId="28" fillId="0" borderId="0" xfId="1" applyFont="1"/>
    <xf numFmtId="43" fontId="25" fillId="3" borderId="0" xfId="1" applyFont="1" applyFill="1" applyAlignment="1">
      <alignment horizontal="center"/>
    </xf>
  </cellXfs>
  <cellStyles count="3">
    <cellStyle name="Comma" xfId="1" builtinId="3"/>
    <cellStyle name="Comma 3" xfId="2" xr:uid="{5C186560-1670-4402-B1E9-4C1841D9CF3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0</xdr:rowOff>
    </xdr:from>
    <xdr:ext cx="1765136" cy="941924"/>
    <xdr:pic>
      <xdr:nvPicPr>
        <xdr:cNvPr id="2" name="Picture 1">
          <a:extLst>
            <a:ext uri="{FF2B5EF4-FFF2-40B4-BE49-F238E27FC236}">
              <a16:creationId xmlns:a16="http://schemas.microsoft.com/office/drawing/2014/main" id="{C24D040A-B07D-4A60-A539-ECA9DBA18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1765136" cy="941924"/>
        </a:xfrm>
        <a:prstGeom prst="rect">
          <a:avLst/>
        </a:prstGeom>
      </xdr:spPr>
    </xdr:pic>
    <xdr:clientData/>
  </xdr:oneCellAnchor>
  <xdr:twoCellAnchor>
    <xdr:from>
      <xdr:col>0</xdr:col>
      <xdr:colOff>1</xdr:colOff>
      <xdr:row>5</xdr:row>
      <xdr:rowOff>9525</xdr:rowOff>
    </xdr:from>
    <xdr:to>
      <xdr:col>2</xdr:col>
      <xdr:colOff>1681</xdr:colOff>
      <xdr:row>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D8E2E2-4612-4784-A84E-5E97819705B9}"/>
            </a:ext>
          </a:extLst>
        </xdr:cNvPr>
        <xdr:cNvSpPr txBox="1"/>
      </xdr:nvSpPr>
      <xdr:spPr>
        <a:xfrm>
          <a:off x="1" y="962025"/>
          <a:ext cx="316398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Jl. Cempaka 2 NC.1 No.1, Desa/Kelurahan Wanakerta,</a:t>
          </a:r>
        </a:p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Kec. Bungursari, Kab Purwakarta, Provinsi Jawa Barat, 41181</a:t>
          </a:r>
        </a:p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Email: modernjayakonstruksi@gmail.com</a:t>
          </a:r>
        </a:p>
      </xdr:txBody>
    </xdr:sp>
    <xdr:clientData/>
  </xdr:twoCellAnchor>
  <xdr:oneCellAnchor>
    <xdr:from>
      <xdr:col>2</xdr:col>
      <xdr:colOff>672353</xdr:colOff>
      <xdr:row>96</xdr:row>
      <xdr:rowOff>179294</xdr:rowOff>
    </xdr:from>
    <xdr:ext cx="1723465" cy="1620333"/>
    <xdr:pic>
      <xdr:nvPicPr>
        <xdr:cNvPr id="4" name="Picture 3">
          <a:extLst>
            <a:ext uri="{FF2B5EF4-FFF2-40B4-BE49-F238E27FC236}">
              <a16:creationId xmlns:a16="http://schemas.microsoft.com/office/drawing/2014/main" id="{2D98577D-E024-4CF6-9447-CD19F783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4653" y="31249844"/>
          <a:ext cx="1723465" cy="16203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69B1-B613-4AAB-99A6-632C7BBE732B}">
  <sheetPr>
    <pageSetUpPr fitToPage="1"/>
  </sheetPr>
  <dimension ref="A1:H205"/>
  <sheetViews>
    <sheetView tabSelected="1" view="pageBreakPreview" topLeftCell="A74" zoomScale="60" zoomScaleNormal="85" workbookViewId="0">
      <selection activeCell="M82" sqref="M82"/>
    </sheetView>
  </sheetViews>
  <sheetFormatPr defaultRowHeight="15" x14ac:dyDescent="0.25"/>
  <cols>
    <col min="1" max="1" width="4.7109375" style="1" customWidth="1"/>
    <col min="2" max="2" width="42.7109375" style="1" customWidth="1"/>
    <col min="3" max="3" width="10.85546875" style="92" customWidth="1"/>
    <col min="4" max="4" width="10.28515625" style="1" customWidth="1"/>
    <col min="5" max="6" width="16.42578125" style="1" customWidth="1"/>
    <col min="7" max="7" width="12.28515625" style="1" customWidth="1"/>
    <col min="8" max="16384" width="9.140625" style="1"/>
  </cols>
  <sheetData>
    <row r="1" spans="1:7" x14ac:dyDescent="0.25">
      <c r="C1" s="2"/>
      <c r="D1" s="3" t="s">
        <v>0</v>
      </c>
      <c r="E1" s="3"/>
      <c r="F1" s="3"/>
      <c r="G1" s="3"/>
    </row>
    <row r="2" spans="1:7" x14ac:dyDescent="0.25">
      <c r="C2" s="2"/>
      <c r="D2" s="3"/>
      <c r="E2" s="3"/>
      <c r="F2" s="3"/>
      <c r="G2" s="3"/>
    </row>
    <row r="3" spans="1:7" x14ac:dyDescent="0.25">
      <c r="C3" s="2"/>
      <c r="D3" s="3"/>
      <c r="E3" s="3"/>
      <c r="F3" s="3"/>
      <c r="G3" s="3"/>
    </row>
    <row r="4" spans="1:7" x14ac:dyDescent="0.25">
      <c r="C4" s="1"/>
      <c r="D4" s="4" t="s">
        <v>1</v>
      </c>
      <c r="E4" s="5" t="s">
        <v>2</v>
      </c>
      <c r="F4" s="5"/>
      <c r="G4" s="5"/>
    </row>
    <row r="5" spans="1:7" x14ac:dyDescent="0.25">
      <c r="C5" s="1"/>
      <c r="D5" s="4" t="s">
        <v>3</v>
      </c>
      <c r="E5" s="6">
        <f ca="1">NOW()</f>
        <v>46206.707529513886</v>
      </c>
      <c r="F5" s="7"/>
      <c r="G5" s="7"/>
    </row>
    <row r="6" spans="1:7" x14ac:dyDescent="0.25">
      <c r="C6" s="1"/>
    </row>
    <row r="7" spans="1:7" x14ac:dyDescent="0.25">
      <c r="C7" s="1"/>
      <c r="D7" s="8" t="s">
        <v>4</v>
      </c>
      <c r="E7" s="9"/>
      <c r="F7" s="9"/>
      <c r="G7" s="9"/>
    </row>
    <row r="8" spans="1:7" x14ac:dyDescent="0.25">
      <c r="C8" s="1"/>
      <c r="D8" s="5" t="s">
        <v>5</v>
      </c>
      <c r="E8" s="9"/>
      <c r="F8" s="9"/>
      <c r="G8" s="9"/>
    </row>
    <row r="9" spans="1:7" x14ac:dyDescent="0.25">
      <c r="C9" s="1"/>
      <c r="D9" s="5" t="s">
        <v>6</v>
      </c>
      <c r="E9" s="9"/>
      <c r="F9" s="9"/>
      <c r="G9" s="9"/>
    </row>
    <row r="10" spans="1:7" x14ac:dyDescent="0.25">
      <c r="A10" s="9" t="s">
        <v>7</v>
      </c>
      <c r="B10" s="10" t="s">
        <v>8</v>
      </c>
      <c r="C10" s="1"/>
      <c r="D10" s="11" t="s">
        <v>9</v>
      </c>
      <c r="G10" s="9"/>
    </row>
    <row r="11" spans="1:7" x14ac:dyDescent="0.25">
      <c r="A11" s="9"/>
      <c r="B11" s="9" t="s">
        <v>10</v>
      </c>
      <c r="C11" s="1"/>
      <c r="D11" s="11" t="s">
        <v>11</v>
      </c>
    </row>
    <row r="12" spans="1:7" x14ac:dyDescent="0.25">
      <c r="A12" s="9"/>
      <c r="B12" s="9" t="s">
        <v>12</v>
      </c>
      <c r="C12" s="1"/>
      <c r="D12" s="11" t="s">
        <v>13</v>
      </c>
    </row>
    <row r="13" spans="1:7" x14ac:dyDescent="0.25">
      <c r="A13" s="9" t="s">
        <v>14</v>
      </c>
      <c r="B13" s="9"/>
      <c r="C13" s="1"/>
      <c r="D13" s="11" t="s">
        <v>15</v>
      </c>
    </row>
    <row r="14" spans="1:7" x14ac:dyDescent="0.25">
      <c r="A14" s="9" t="s">
        <v>16</v>
      </c>
      <c r="B14" s="9"/>
      <c r="C14" s="1"/>
      <c r="D14" s="11" t="s">
        <v>17</v>
      </c>
    </row>
    <row r="15" spans="1:7" x14ac:dyDescent="0.25">
      <c r="A15" s="9"/>
      <c r="B15" s="9"/>
      <c r="C15" s="1"/>
      <c r="D15" s="1" t="s">
        <v>18</v>
      </c>
    </row>
    <row r="16" spans="1:7" x14ac:dyDescent="0.25">
      <c r="A16" s="12" t="s">
        <v>19</v>
      </c>
      <c r="C16" s="2"/>
    </row>
    <row r="17" spans="1:8" ht="15.75" thickBot="1" x14ac:dyDescent="0.3">
      <c r="C17" s="2"/>
    </row>
    <row r="18" spans="1:8" ht="47.25" x14ac:dyDescent="0.25">
      <c r="A18" s="13" t="s">
        <v>20</v>
      </c>
      <c r="B18" s="14" t="s">
        <v>21</v>
      </c>
      <c r="C18" s="14" t="s">
        <v>22</v>
      </c>
      <c r="D18" s="14" t="s">
        <v>23</v>
      </c>
      <c r="E18" s="14" t="s">
        <v>24</v>
      </c>
      <c r="F18" s="14" t="s">
        <v>25</v>
      </c>
      <c r="G18" s="15" t="s">
        <v>26</v>
      </c>
      <c r="H18" s="9"/>
    </row>
    <row r="19" spans="1:8" ht="16.5" thickBot="1" x14ac:dyDescent="0.3">
      <c r="A19" s="16"/>
      <c r="B19" s="17"/>
      <c r="C19" s="18"/>
      <c r="D19" s="17"/>
      <c r="E19" s="19" t="s">
        <v>27</v>
      </c>
      <c r="F19" s="19" t="s">
        <v>27</v>
      </c>
      <c r="G19" s="20"/>
      <c r="H19" s="9"/>
    </row>
    <row r="20" spans="1:8" ht="36" x14ac:dyDescent="0.25">
      <c r="A20" s="21" t="s">
        <v>28</v>
      </c>
      <c r="B20" s="22" t="s">
        <v>29</v>
      </c>
      <c r="C20" s="23"/>
      <c r="D20" s="23"/>
      <c r="E20" s="24"/>
      <c r="F20" s="24"/>
      <c r="G20" s="25"/>
      <c r="H20" s="9"/>
    </row>
    <row r="21" spans="1:8" ht="34.5" x14ac:dyDescent="0.25">
      <c r="A21" s="26">
        <v>1</v>
      </c>
      <c r="B21" s="27" t="s">
        <v>30</v>
      </c>
      <c r="C21" s="28">
        <f>VOL!W11</f>
        <v>1</v>
      </c>
      <c r="D21" s="29" t="str">
        <f>VOL!X11</f>
        <v>ls</v>
      </c>
      <c r="E21" s="30">
        <v>2000000</v>
      </c>
      <c r="F21" s="30">
        <f>C21*E21</f>
        <v>2000000</v>
      </c>
      <c r="G21" s="31"/>
      <c r="H21" s="9"/>
    </row>
    <row r="22" spans="1:8" ht="17.25" x14ac:dyDescent="0.25">
      <c r="A22" s="26">
        <v>2</v>
      </c>
      <c r="B22" s="27" t="s">
        <v>31</v>
      </c>
      <c r="C22" s="28">
        <f>VOL!W12</f>
        <v>1</v>
      </c>
      <c r="D22" s="29" t="str">
        <f>VOL!X12</f>
        <v>ls</v>
      </c>
      <c r="E22" s="30">
        <v>1000000</v>
      </c>
      <c r="F22" s="30">
        <f>C22*E22</f>
        <v>1000000</v>
      </c>
      <c r="G22" s="31"/>
      <c r="H22" s="9"/>
    </row>
    <row r="23" spans="1:8" ht="17.25" x14ac:dyDescent="0.25">
      <c r="A23" s="26">
        <v>3</v>
      </c>
      <c r="B23" s="27" t="s">
        <v>32</v>
      </c>
      <c r="C23" s="28">
        <f>VOL!W13</f>
        <v>1</v>
      </c>
      <c r="D23" s="29" t="str">
        <f>VOL!X13</f>
        <v>ls</v>
      </c>
      <c r="E23" s="30">
        <v>500000</v>
      </c>
      <c r="F23" s="30">
        <f>C23*E23</f>
        <v>500000</v>
      </c>
      <c r="G23" s="31"/>
      <c r="H23" s="9"/>
    </row>
    <row r="24" spans="1:8" ht="17.25" x14ac:dyDescent="0.25">
      <c r="A24" s="26">
        <v>4</v>
      </c>
      <c r="B24" s="27" t="s">
        <v>33</v>
      </c>
      <c r="C24" s="28">
        <f>VOL!W14</f>
        <v>1</v>
      </c>
      <c r="D24" s="29" t="str">
        <f>VOL!X14</f>
        <v>ls</v>
      </c>
      <c r="E24" s="30">
        <v>500000</v>
      </c>
      <c r="F24" s="30">
        <f>C24*E24</f>
        <v>500000</v>
      </c>
      <c r="G24" s="31"/>
      <c r="H24" s="9"/>
    </row>
    <row r="25" spans="1:8" ht="17.25" x14ac:dyDescent="0.25">
      <c r="A25" s="26"/>
      <c r="B25" s="27"/>
      <c r="C25" s="28"/>
      <c r="D25" s="29"/>
      <c r="E25" s="30"/>
      <c r="F25" s="30"/>
      <c r="G25" s="31"/>
      <c r="H25" s="9"/>
    </row>
    <row r="26" spans="1:8" ht="54" x14ac:dyDescent="0.25">
      <c r="A26" s="26" t="s">
        <v>34</v>
      </c>
      <c r="B26" s="32" t="s">
        <v>35</v>
      </c>
      <c r="C26" s="28"/>
      <c r="D26" s="29"/>
      <c r="E26" s="30"/>
      <c r="F26" s="30"/>
      <c r="G26" s="31"/>
      <c r="H26" s="9"/>
    </row>
    <row r="27" spans="1:8" s="40" customFormat="1" ht="17.25" x14ac:dyDescent="0.25">
      <c r="A27" s="33">
        <v>1</v>
      </c>
      <c r="B27" s="34" t="s">
        <v>36</v>
      </c>
      <c r="C27" s="35">
        <f>VOL!W17</f>
        <v>203.44274999999999</v>
      </c>
      <c r="D27" s="36" t="str">
        <f>VOL!X17</f>
        <v>m2</v>
      </c>
      <c r="E27" s="37">
        <v>410000</v>
      </c>
      <c r="F27" s="37">
        <f>C27*E27</f>
        <v>83411527.5</v>
      </c>
      <c r="G27" s="38"/>
      <c r="H27" s="39"/>
    </row>
    <row r="28" spans="1:8" s="40" customFormat="1" ht="17.25" x14ac:dyDescent="0.25">
      <c r="A28" s="33"/>
      <c r="B28" s="34" t="s">
        <v>37</v>
      </c>
      <c r="C28" s="35"/>
      <c r="D28" s="41"/>
      <c r="E28" s="37"/>
      <c r="F28" s="37"/>
      <c r="G28" s="38"/>
      <c r="H28" s="39"/>
    </row>
    <row r="29" spans="1:8" s="40" customFormat="1" ht="34.5" x14ac:dyDescent="0.25">
      <c r="A29" s="33" t="s">
        <v>38</v>
      </c>
      <c r="B29" s="34" t="s">
        <v>39</v>
      </c>
      <c r="C29" s="35"/>
      <c r="D29" s="41"/>
      <c r="E29" s="37"/>
      <c r="F29" s="37"/>
      <c r="G29" s="38" t="s">
        <v>40</v>
      </c>
      <c r="H29" s="39"/>
    </row>
    <row r="30" spans="1:8" s="40" customFormat="1" ht="34.5" x14ac:dyDescent="0.25">
      <c r="A30" s="33" t="s">
        <v>38</v>
      </c>
      <c r="B30" s="34" t="s">
        <v>41</v>
      </c>
      <c r="C30" s="35"/>
      <c r="D30" s="41"/>
      <c r="E30" s="37"/>
      <c r="F30" s="37"/>
      <c r="G30" s="38" t="s">
        <v>42</v>
      </c>
      <c r="H30" s="39"/>
    </row>
    <row r="31" spans="1:8" s="40" customFormat="1" ht="34.5" x14ac:dyDescent="0.25">
      <c r="A31" s="33" t="s">
        <v>38</v>
      </c>
      <c r="B31" s="34" t="s">
        <v>43</v>
      </c>
      <c r="C31" s="35"/>
      <c r="D31" s="41"/>
      <c r="E31" s="37"/>
      <c r="F31" s="37"/>
      <c r="G31" s="38" t="s">
        <v>42</v>
      </c>
      <c r="H31" s="39"/>
    </row>
    <row r="32" spans="1:8" s="40" customFormat="1" ht="34.5" x14ac:dyDescent="0.25">
      <c r="A32" s="33" t="s">
        <v>38</v>
      </c>
      <c r="B32" s="34" t="s">
        <v>44</v>
      </c>
      <c r="C32" s="35"/>
      <c r="D32" s="41"/>
      <c r="E32" s="37"/>
      <c r="F32" s="37"/>
      <c r="G32" s="38" t="s">
        <v>45</v>
      </c>
      <c r="H32" s="39"/>
    </row>
    <row r="33" spans="1:8" s="40" customFormat="1" ht="17.25" x14ac:dyDescent="0.25">
      <c r="A33" s="33"/>
      <c r="B33" s="34"/>
      <c r="C33" s="35"/>
      <c r="D33" s="41"/>
      <c r="E33" s="37"/>
      <c r="F33" s="37"/>
      <c r="G33" s="38"/>
      <c r="H33" s="39"/>
    </row>
    <row r="34" spans="1:8" s="40" customFormat="1" ht="34.5" x14ac:dyDescent="0.25">
      <c r="A34" s="33">
        <v>2</v>
      </c>
      <c r="B34" s="34" t="s">
        <v>46</v>
      </c>
      <c r="C34" s="35"/>
      <c r="D34" s="41"/>
      <c r="E34" s="37"/>
      <c r="F34" s="37"/>
      <c r="G34" s="38"/>
      <c r="H34" s="39"/>
    </row>
    <row r="35" spans="1:8" s="40" customFormat="1" ht="17.25" x14ac:dyDescent="0.25">
      <c r="A35" s="33"/>
      <c r="B35" s="34" t="s">
        <v>47</v>
      </c>
      <c r="C35" s="35"/>
      <c r="D35" s="41"/>
      <c r="E35" s="37"/>
      <c r="F35" s="37"/>
      <c r="G35" s="38"/>
      <c r="H35" s="39"/>
    </row>
    <row r="36" spans="1:8" s="40" customFormat="1" ht="17.25" x14ac:dyDescent="0.25">
      <c r="A36" s="33" t="s">
        <v>38</v>
      </c>
      <c r="B36" s="34" t="s">
        <v>48</v>
      </c>
      <c r="C36" s="35">
        <f>VOL!W34</f>
        <v>127.88315</v>
      </c>
      <c r="D36" s="36" t="str">
        <f>VOL!X34</f>
        <v>m2</v>
      </c>
      <c r="E36" s="37">
        <v>4500</v>
      </c>
      <c r="F36" s="37">
        <f t="shared" ref="F36:F39" si="0">C36*E36</f>
        <v>575474.17500000005</v>
      </c>
      <c r="G36" s="38"/>
      <c r="H36" s="39"/>
    </row>
    <row r="37" spans="1:8" s="40" customFormat="1" ht="34.5" x14ac:dyDescent="0.25">
      <c r="A37" s="33" t="s">
        <v>38</v>
      </c>
      <c r="B37" s="34" t="s">
        <v>49</v>
      </c>
      <c r="C37" s="35">
        <f>VOL!W39</f>
        <v>255.7663</v>
      </c>
      <c r="D37" s="36" t="str">
        <f>VOL!X39</f>
        <v>m2</v>
      </c>
      <c r="E37" s="37">
        <v>107073.25977608308</v>
      </c>
      <c r="F37" s="37">
        <f t="shared" si="0"/>
        <v>27385731.4818676</v>
      </c>
      <c r="G37" s="38" t="s">
        <v>42</v>
      </c>
      <c r="H37" s="39"/>
    </row>
    <row r="38" spans="1:8" s="40" customFormat="1" ht="34.5" x14ac:dyDescent="0.25">
      <c r="A38" s="33" t="s">
        <v>38</v>
      </c>
      <c r="B38" s="34" t="s">
        <v>50</v>
      </c>
      <c r="C38" s="35">
        <f>VOL!W41</f>
        <v>27.407999999999998</v>
      </c>
      <c r="D38" s="36" t="str">
        <f>VOL!X41</f>
        <v>m2</v>
      </c>
      <c r="E38" s="37">
        <v>150000</v>
      </c>
      <c r="F38" s="37">
        <f t="shared" si="0"/>
        <v>4111199.9999999995</v>
      </c>
      <c r="G38" s="38" t="s">
        <v>51</v>
      </c>
      <c r="H38" s="39"/>
    </row>
    <row r="39" spans="1:8" s="40" customFormat="1" ht="34.5" x14ac:dyDescent="0.25">
      <c r="A39" s="33" t="s">
        <v>38</v>
      </c>
      <c r="B39" s="34" t="s">
        <v>52</v>
      </c>
      <c r="C39" s="35">
        <f>VOL!W45</f>
        <v>38.796944999999994</v>
      </c>
      <c r="D39" s="36" t="str">
        <f>VOL!X45</f>
        <v>m3</v>
      </c>
      <c r="E39" s="37">
        <v>1300000</v>
      </c>
      <c r="F39" s="37">
        <f t="shared" si="0"/>
        <v>50436028.499999993</v>
      </c>
      <c r="G39" s="38" t="s">
        <v>53</v>
      </c>
      <c r="H39" s="39"/>
    </row>
    <row r="40" spans="1:8" s="40" customFormat="1" ht="17.25" x14ac:dyDescent="0.25">
      <c r="A40" s="33"/>
      <c r="B40" s="34"/>
      <c r="C40" s="35"/>
      <c r="D40" s="41"/>
      <c r="E40" s="37"/>
      <c r="F40" s="37"/>
      <c r="G40" s="38"/>
      <c r="H40" s="39"/>
    </row>
    <row r="41" spans="1:8" s="40" customFormat="1" ht="34.5" x14ac:dyDescent="0.25">
      <c r="A41" s="42">
        <v>3</v>
      </c>
      <c r="B41" s="34" t="s">
        <v>54</v>
      </c>
      <c r="C41" s="35">
        <f>VOL!W49</f>
        <v>2</v>
      </c>
      <c r="D41" s="36" t="str">
        <f>VOL!X49</f>
        <v>unit</v>
      </c>
      <c r="E41" s="37">
        <v>9650000</v>
      </c>
      <c r="F41" s="37">
        <f>C41*E41</f>
        <v>19300000</v>
      </c>
      <c r="G41" s="38"/>
      <c r="H41" s="39"/>
    </row>
    <row r="42" spans="1:8" s="40" customFormat="1" ht="17.25" x14ac:dyDescent="0.25">
      <c r="A42" s="33"/>
      <c r="B42" s="34" t="s">
        <v>37</v>
      </c>
      <c r="C42" s="35"/>
      <c r="D42" s="36"/>
      <c r="E42" s="37"/>
      <c r="F42" s="37"/>
      <c r="G42" s="38"/>
      <c r="H42" s="39"/>
    </row>
    <row r="43" spans="1:8" s="40" customFormat="1" ht="34.5" x14ac:dyDescent="0.25">
      <c r="A43" s="33" t="s">
        <v>38</v>
      </c>
      <c r="B43" s="34" t="s">
        <v>55</v>
      </c>
      <c r="C43" s="35"/>
      <c r="D43" s="36"/>
      <c r="E43" s="37"/>
      <c r="F43" s="37"/>
      <c r="G43" s="38" t="s">
        <v>42</v>
      </c>
      <c r="H43" s="39"/>
    </row>
    <row r="44" spans="1:8" s="40" customFormat="1" ht="34.5" x14ac:dyDescent="0.25">
      <c r="A44" s="33" t="s">
        <v>38</v>
      </c>
      <c r="B44" s="34" t="s">
        <v>56</v>
      </c>
      <c r="C44" s="35"/>
      <c r="D44" s="36"/>
      <c r="E44" s="37"/>
      <c r="F44" s="37"/>
      <c r="G44" s="38" t="s">
        <v>42</v>
      </c>
      <c r="H44" s="39"/>
    </row>
    <row r="45" spans="1:8" s="40" customFormat="1" ht="34.5" x14ac:dyDescent="0.25">
      <c r="A45" s="33" t="s">
        <v>38</v>
      </c>
      <c r="B45" s="34" t="s">
        <v>39</v>
      </c>
      <c r="C45" s="35"/>
      <c r="D45" s="36"/>
      <c r="E45" s="37"/>
      <c r="F45" s="37"/>
      <c r="G45" s="38" t="s">
        <v>40</v>
      </c>
      <c r="H45" s="39"/>
    </row>
    <row r="46" spans="1:8" s="40" customFormat="1" ht="34.5" x14ac:dyDescent="0.25">
      <c r="A46" s="33" t="s">
        <v>38</v>
      </c>
      <c r="B46" s="34" t="s">
        <v>57</v>
      </c>
      <c r="C46" s="35"/>
      <c r="D46" s="36"/>
      <c r="E46" s="37"/>
      <c r="F46" s="37"/>
      <c r="G46" s="38" t="s">
        <v>45</v>
      </c>
      <c r="H46" s="39"/>
    </row>
    <row r="47" spans="1:8" s="40" customFormat="1" ht="17.25" x14ac:dyDescent="0.25">
      <c r="A47" s="33" t="s">
        <v>38</v>
      </c>
      <c r="B47" s="34" t="s">
        <v>58</v>
      </c>
      <c r="C47" s="35"/>
      <c r="D47" s="36"/>
      <c r="E47" s="37"/>
      <c r="F47" s="37"/>
      <c r="G47" s="38"/>
      <c r="H47" s="39"/>
    </row>
    <row r="48" spans="1:8" s="40" customFormat="1" ht="17.25" x14ac:dyDescent="0.25">
      <c r="A48" s="33"/>
      <c r="B48" s="34"/>
      <c r="C48" s="35"/>
      <c r="D48" s="36"/>
      <c r="E48" s="37"/>
      <c r="F48" s="37"/>
      <c r="G48" s="38"/>
      <c r="H48" s="39"/>
    </row>
    <row r="49" spans="1:8" s="40" customFormat="1" ht="34.5" x14ac:dyDescent="0.25">
      <c r="A49" s="33">
        <v>4</v>
      </c>
      <c r="B49" s="34" t="s">
        <v>59</v>
      </c>
      <c r="C49" s="35">
        <f>VOL!W57</f>
        <v>2</v>
      </c>
      <c r="D49" s="36" t="str">
        <f>VOL!X57</f>
        <v>unit</v>
      </c>
      <c r="E49" s="37">
        <v>2200000</v>
      </c>
      <c r="F49" s="37">
        <f>C49*E49</f>
        <v>4400000</v>
      </c>
      <c r="G49" s="38"/>
      <c r="H49" s="39"/>
    </row>
    <row r="50" spans="1:8" s="40" customFormat="1" ht="17.25" x14ac:dyDescent="0.25">
      <c r="A50" s="33"/>
      <c r="B50" s="34" t="s">
        <v>37</v>
      </c>
      <c r="C50" s="35"/>
      <c r="D50" s="36"/>
      <c r="E50" s="37"/>
      <c r="F50" s="37"/>
      <c r="G50" s="38"/>
      <c r="H50" s="39"/>
    </row>
    <row r="51" spans="1:8" s="40" customFormat="1" ht="51.75" x14ac:dyDescent="0.25">
      <c r="A51" s="33" t="s">
        <v>38</v>
      </c>
      <c r="B51" s="34" t="s">
        <v>60</v>
      </c>
      <c r="C51" s="35"/>
      <c r="D51" s="36"/>
      <c r="E51" s="37"/>
      <c r="F51" s="37"/>
      <c r="G51" s="38" t="s">
        <v>61</v>
      </c>
      <c r="H51" s="39"/>
    </row>
    <row r="52" spans="1:8" s="40" customFormat="1" ht="34.5" x14ac:dyDescent="0.25">
      <c r="A52" s="33" t="s">
        <v>38</v>
      </c>
      <c r="B52" s="34" t="s">
        <v>62</v>
      </c>
      <c r="C52" s="35"/>
      <c r="D52" s="36"/>
      <c r="E52" s="37"/>
      <c r="F52" s="37"/>
      <c r="G52" s="38" t="s">
        <v>63</v>
      </c>
      <c r="H52" s="39"/>
    </row>
    <row r="53" spans="1:8" s="40" customFormat="1" ht="34.5" x14ac:dyDescent="0.25">
      <c r="A53" s="33" t="s">
        <v>38</v>
      </c>
      <c r="B53" s="34" t="s">
        <v>64</v>
      </c>
      <c r="C53" s="35"/>
      <c r="D53" s="36"/>
      <c r="E53" s="37"/>
      <c r="F53" s="37"/>
      <c r="G53" s="38" t="s">
        <v>65</v>
      </c>
      <c r="H53" s="39"/>
    </row>
    <row r="54" spans="1:8" s="40" customFormat="1" ht="17.25" x14ac:dyDescent="0.25">
      <c r="A54" s="33"/>
      <c r="B54" s="34"/>
      <c r="C54" s="35"/>
      <c r="D54" s="36"/>
      <c r="E54" s="37"/>
      <c r="F54" s="37"/>
      <c r="G54" s="38"/>
      <c r="H54" s="39"/>
    </row>
    <row r="55" spans="1:8" s="40" customFormat="1" ht="34.5" x14ac:dyDescent="0.25">
      <c r="A55" s="33">
        <v>5</v>
      </c>
      <c r="B55" s="34" t="s">
        <v>66</v>
      </c>
      <c r="C55" s="35">
        <f>VOL!W63</f>
        <v>4</v>
      </c>
      <c r="D55" s="36" t="str">
        <f>VOL!X63</f>
        <v>unit</v>
      </c>
      <c r="E55" s="37">
        <v>590000</v>
      </c>
      <c r="F55" s="37">
        <f>C55*E55</f>
        <v>2360000</v>
      </c>
      <c r="G55" s="38"/>
      <c r="H55" s="39"/>
    </row>
    <row r="56" spans="1:8" s="40" customFormat="1" ht="17.25" x14ac:dyDescent="0.25">
      <c r="A56" s="33"/>
      <c r="B56" s="34" t="s">
        <v>37</v>
      </c>
      <c r="C56" s="35"/>
      <c r="D56" s="41"/>
      <c r="E56" s="37"/>
      <c r="F56" s="37"/>
      <c r="G56" s="38"/>
      <c r="H56" s="39"/>
    </row>
    <row r="57" spans="1:8" s="40" customFormat="1" ht="34.5" x14ac:dyDescent="0.25">
      <c r="A57" s="33" t="s">
        <v>38</v>
      </c>
      <c r="B57" s="34" t="s">
        <v>56</v>
      </c>
      <c r="C57" s="35"/>
      <c r="D57" s="41"/>
      <c r="E57" s="37"/>
      <c r="F57" s="37"/>
      <c r="G57" s="38" t="s">
        <v>42</v>
      </c>
      <c r="H57" s="39"/>
    </row>
    <row r="58" spans="1:8" s="40" customFormat="1" ht="34.5" x14ac:dyDescent="0.25">
      <c r="A58" s="33" t="s">
        <v>38</v>
      </c>
      <c r="B58" s="34" t="s">
        <v>67</v>
      </c>
      <c r="C58" s="35"/>
      <c r="D58" s="41"/>
      <c r="E58" s="37"/>
      <c r="F58" s="37"/>
      <c r="G58" s="38" t="s">
        <v>42</v>
      </c>
      <c r="H58" s="39"/>
    </row>
    <row r="59" spans="1:8" s="40" customFormat="1" ht="34.5" x14ac:dyDescent="0.25">
      <c r="A59" s="33" t="s">
        <v>38</v>
      </c>
      <c r="B59" s="34" t="s">
        <v>57</v>
      </c>
      <c r="C59" s="35"/>
      <c r="D59" s="41"/>
      <c r="E59" s="37"/>
      <c r="F59" s="37"/>
      <c r="G59" s="38" t="s">
        <v>45</v>
      </c>
      <c r="H59" s="39"/>
    </row>
    <row r="60" spans="1:8" s="40" customFormat="1" ht="17.25" x14ac:dyDescent="0.25">
      <c r="A60" s="33"/>
      <c r="B60" s="34"/>
      <c r="C60" s="35"/>
      <c r="D60" s="41"/>
      <c r="E60" s="37"/>
      <c r="F60" s="37"/>
      <c r="G60" s="38"/>
      <c r="H60" s="39"/>
    </row>
    <row r="61" spans="1:8" s="40" customFormat="1" ht="17.25" x14ac:dyDescent="0.25">
      <c r="A61" s="33">
        <v>6</v>
      </c>
      <c r="B61" s="34" t="s">
        <v>68</v>
      </c>
      <c r="C61" s="35">
        <f>VOL!W68</f>
        <v>5.2</v>
      </c>
      <c r="D61" s="36" t="str">
        <f>VOL!X68</f>
        <v>m</v>
      </c>
      <c r="E61" s="37">
        <v>125000</v>
      </c>
      <c r="F61" s="37">
        <f t="shared" ref="F61" si="1">C61*E61</f>
        <v>650000</v>
      </c>
      <c r="G61" s="38"/>
      <c r="H61" s="39"/>
    </row>
    <row r="62" spans="1:8" s="40" customFormat="1" ht="17.25" x14ac:dyDescent="0.25">
      <c r="A62" s="33"/>
      <c r="B62" s="34"/>
      <c r="C62" s="35"/>
      <c r="D62" s="41"/>
      <c r="E62" s="37"/>
      <c r="F62" s="37"/>
      <c r="G62" s="38"/>
      <c r="H62" s="39"/>
    </row>
    <row r="63" spans="1:8" s="40" customFormat="1" ht="34.5" x14ac:dyDescent="0.25">
      <c r="A63" s="33"/>
      <c r="B63" s="34" t="s">
        <v>69</v>
      </c>
      <c r="C63" s="35"/>
      <c r="D63" s="41"/>
      <c r="E63" s="37"/>
      <c r="F63" s="37"/>
      <c r="G63" s="38"/>
      <c r="H63" s="39"/>
    </row>
    <row r="64" spans="1:8" s="40" customFormat="1" ht="17.25" x14ac:dyDescent="0.25">
      <c r="A64" s="33"/>
      <c r="B64" s="34"/>
      <c r="C64" s="35"/>
      <c r="D64" s="41"/>
      <c r="E64" s="37"/>
      <c r="F64" s="37"/>
      <c r="G64" s="38"/>
      <c r="H64" s="39"/>
    </row>
    <row r="65" spans="1:8" s="50" customFormat="1" ht="72" x14ac:dyDescent="0.25">
      <c r="A65" s="43" t="s">
        <v>70</v>
      </c>
      <c r="B65" s="44" t="s">
        <v>71</v>
      </c>
      <c r="C65" s="45"/>
      <c r="D65" s="46"/>
      <c r="E65" s="47"/>
      <c r="F65" s="47"/>
      <c r="G65" s="48"/>
      <c r="H65" s="49"/>
    </row>
    <row r="66" spans="1:8" s="40" customFormat="1" ht="34.5" x14ac:dyDescent="0.25">
      <c r="A66" s="33">
        <v>1</v>
      </c>
      <c r="B66" s="34" t="s">
        <v>72</v>
      </c>
      <c r="C66" s="35">
        <f>VOL!W74</f>
        <v>1.68</v>
      </c>
      <c r="D66" s="36" t="str">
        <f>VOL!X74</f>
        <v>m2</v>
      </c>
      <c r="E66" s="37">
        <v>45000</v>
      </c>
      <c r="F66" s="37">
        <f t="shared" ref="F66:F72" si="2">C66*E66</f>
        <v>75600</v>
      </c>
      <c r="G66" s="38"/>
      <c r="H66" s="39"/>
    </row>
    <row r="67" spans="1:8" s="40" customFormat="1" ht="34.5" x14ac:dyDescent="0.25">
      <c r="A67" s="33">
        <v>2</v>
      </c>
      <c r="B67" s="34" t="s">
        <v>73</v>
      </c>
      <c r="C67" s="35">
        <f>VOL!W75</f>
        <v>5.1999999999999993</v>
      </c>
      <c r="D67" s="36" t="str">
        <f>VOL!X75</f>
        <v>m</v>
      </c>
      <c r="E67" s="37">
        <v>35000</v>
      </c>
      <c r="F67" s="37">
        <f t="shared" si="2"/>
        <v>181999.99999999997</v>
      </c>
      <c r="G67" s="38"/>
      <c r="H67" s="39"/>
    </row>
    <row r="68" spans="1:8" s="40" customFormat="1" ht="17.25" x14ac:dyDescent="0.25">
      <c r="A68" s="33">
        <v>3</v>
      </c>
      <c r="B68" s="34" t="s">
        <v>74</v>
      </c>
      <c r="C68" s="35">
        <f>VOL!W76</f>
        <v>10.676000000000002</v>
      </c>
      <c r="D68" s="36" t="str">
        <f>VOL!X76</f>
        <v>m2</v>
      </c>
      <c r="E68" s="37">
        <v>115000</v>
      </c>
      <c r="F68" s="37">
        <f t="shared" si="2"/>
        <v>1227740.0000000002</v>
      </c>
      <c r="G68" s="38"/>
      <c r="H68" s="39"/>
    </row>
    <row r="69" spans="1:8" s="40" customFormat="1" ht="34.5" x14ac:dyDescent="0.25">
      <c r="A69" s="33">
        <v>4</v>
      </c>
      <c r="B69" s="34" t="s">
        <v>75</v>
      </c>
      <c r="C69" s="35">
        <f>VOL!W81</f>
        <v>21.352000000000004</v>
      </c>
      <c r="D69" s="36" t="str">
        <f>VOL!X81</f>
        <v>m2</v>
      </c>
      <c r="E69" s="37">
        <v>110000</v>
      </c>
      <c r="F69" s="37">
        <f t="shared" si="2"/>
        <v>2348720.0000000005</v>
      </c>
      <c r="G69" s="38"/>
      <c r="H69" s="39"/>
    </row>
    <row r="70" spans="1:8" s="40" customFormat="1" ht="34.5" x14ac:dyDescent="0.25">
      <c r="A70" s="33">
        <v>5</v>
      </c>
      <c r="B70" s="34" t="s">
        <v>76</v>
      </c>
      <c r="C70" s="35">
        <f>VOL!W82</f>
        <v>21.352000000000004</v>
      </c>
      <c r="D70" s="36" t="str">
        <f>VOL!X82</f>
        <v>m2</v>
      </c>
      <c r="E70" s="37">
        <v>36000</v>
      </c>
      <c r="F70" s="37">
        <f t="shared" si="2"/>
        <v>768672.00000000012</v>
      </c>
      <c r="G70" s="38" t="s">
        <v>77</v>
      </c>
      <c r="H70" s="39"/>
    </row>
    <row r="71" spans="1:8" s="40" customFormat="1" ht="17.25" x14ac:dyDescent="0.25">
      <c r="A71" s="33">
        <v>6</v>
      </c>
      <c r="B71" s="34" t="s">
        <v>78</v>
      </c>
      <c r="C71" s="35">
        <f>VOL!W83</f>
        <v>3.7</v>
      </c>
      <c r="D71" s="36" t="str">
        <f>VOL!X83</f>
        <v>m</v>
      </c>
      <c r="E71" s="37">
        <v>145000</v>
      </c>
      <c r="F71" s="37">
        <f t="shared" si="2"/>
        <v>536500</v>
      </c>
      <c r="G71" s="38"/>
      <c r="H71" s="39"/>
    </row>
    <row r="72" spans="1:8" s="40" customFormat="1" ht="34.5" x14ac:dyDescent="0.25">
      <c r="A72" s="33">
        <v>7</v>
      </c>
      <c r="B72" s="34" t="s">
        <v>79</v>
      </c>
      <c r="C72" s="35">
        <f>VOL!W84</f>
        <v>1</v>
      </c>
      <c r="D72" s="36" t="str">
        <f>VOL!X84</f>
        <v>unit</v>
      </c>
      <c r="E72" s="37">
        <v>4160000</v>
      </c>
      <c r="F72" s="37">
        <f t="shared" si="2"/>
        <v>4160000</v>
      </c>
      <c r="G72" s="38"/>
      <c r="H72" s="39"/>
    </row>
    <row r="73" spans="1:8" s="40" customFormat="1" ht="17.25" x14ac:dyDescent="0.25">
      <c r="A73" s="33"/>
      <c r="B73" s="34" t="s">
        <v>37</v>
      </c>
      <c r="C73" s="35"/>
      <c r="D73" s="41"/>
      <c r="E73" s="37"/>
      <c r="F73" s="37"/>
      <c r="G73" s="38"/>
      <c r="H73" s="39"/>
    </row>
    <row r="74" spans="1:8" s="40" customFormat="1" ht="51.75" x14ac:dyDescent="0.25">
      <c r="A74" s="33" t="s">
        <v>38</v>
      </c>
      <c r="B74" s="34" t="s">
        <v>80</v>
      </c>
      <c r="C74" s="35"/>
      <c r="D74" s="41"/>
      <c r="E74" s="37"/>
      <c r="F74" s="37"/>
      <c r="G74" s="38" t="s">
        <v>61</v>
      </c>
      <c r="H74" s="39"/>
    </row>
    <row r="75" spans="1:8" s="40" customFormat="1" ht="34.5" x14ac:dyDescent="0.25">
      <c r="A75" s="33" t="s">
        <v>38</v>
      </c>
      <c r="B75" s="34" t="s">
        <v>81</v>
      </c>
      <c r="C75" s="35"/>
      <c r="D75" s="41"/>
      <c r="E75" s="37"/>
      <c r="F75" s="37"/>
      <c r="G75" s="38" t="s">
        <v>63</v>
      </c>
      <c r="H75" s="39"/>
    </row>
    <row r="76" spans="1:8" s="40" customFormat="1" ht="34.5" x14ac:dyDescent="0.25">
      <c r="A76" s="33" t="s">
        <v>38</v>
      </c>
      <c r="B76" s="34" t="s">
        <v>64</v>
      </c>
      <c r="C76" s="35"/>
      <c r="D76" s="41"/>
      <c r="E76" s="37"/>
      <c r="F76" s="37"/>
      <c r="G76" s="38" t="s">
        <v>65</v>
      </c>
      <c r="H76" s="39"/>
    </row>
    <row r="77" spans="1:8" s="40" customFormat="1" ht="17.25" x14ac:dyDescent="0.25">
      <c r="A77" s="33"/>
      <c r="B77" s="34"/>
      <c r="C77" s="35"/>
      <c r="D77" s="41"/>
      <c r="E77" s="37"/>
      <c r="F77" s="37"/>
      <c r="G77" s="38"/>
      <c r="H77" s="39"/>
    </row>
    <row r="78" spans="1:8" s="40" customFormat="1" ht="34.5" x14ac:dyDescent="0.25">
      <c r="A78" s="33">
        <v>8</v>
      </c>
      <c r="B78" s="34" t="s">
        <v>82</v>
      </c>
      <c r="C78" s="35">
        <f>VOL!W92</f>
        <v>1</v>
      </c>
      <c r="D78" s="36" t="str">
        <f>VOL!X92</f>
        <v>unit</v>
      </c>
      <c r="E78" s="37">
        <v>2200000</v>
      </c>
      <c r="F78" s="37">
        <f>C78*E78</f>
        <v>2200000</v>
      </c>
      <c r="G78" s="38"/>
      <c r="H78" s="39"/>
    </row>
    <row r="79" spans="1:8" s="40" customFormat="1" ht="17.25" x14ac:dyDescent="0.25">
      <c r="A79" s="33"/>
      <c r="B79" s="34" t="s">
        <v>37</v>
      </c>
      <c r="C79" s="35"/>
      <c r="D79" s="41"/>
      <c r="E79" s="37"/>
      <c r="F79" s="37"/>
      <c r="G79" s="38"/>
      <c r="H79" s="39"/>
    </row>
    <row r="80" spans="1:8" s="40" customFormat="1" ht="51.75" x14ac:dyDescent="0.25">
      <c r="A80" s="33" t="s">
        <v>38</v>
      </c>
      <c r="B80" s="34" t="s">
        <v>60</v>
      </c>
      <c r="C80" s="35"/>
      <c r="D80" s="41"/>
      <c r="E80" s="37"/>
      <c r="F80" s="37"/>
      <c r="G80" s="38" t="s">
        <v>61</v>
      </c>
      <c r="H80" s="39"/>
    </row>
    <row r="81" spans="1:8" s="40" customFormat="1" ht="34.5" x14ac:dyDescent="0.25">
      <c r="A81" s="33" t="s">
        <v>38</v>
      </c>
      <c r="B81" s="34" t="s">
        <v>62</v>
      </c>
      <c r="C81" s="35"/>
      <c r="D81" s="41"/>
      <c r="E81" s="37"/>
      <c r="F81" s="37"/>
      <c r="G81" s="38" t="s">
        <v>63</v>
      </c>
      <c r="H81" s="39"/>
    </row>
    <row r="82" spans="1:8" s="40" customFormat="1" ht="34.5" x14ac:dyDescent="0.25">
      <c r="A82" s="33" t="s">
        <v>38</v>
      </c>
      <c r="B82" s="34" t="s">
        <v>64</v>
      </c>
      <c r="C82" s="35"/>
      <c r="D82" s="41"/>
      <c r="E82" s="37"/>
      <c r="F82" s="37"/>
      <c r="G82" s="38" t="s">
        <v>65</v>
      </c>
      <c r="H82" s="39"/>
    </row>
    <row r="83" spans="1:8" ht="17.25" x14ac:dyDescent="0.25">
      <c r="A83" s="51"/>
      <c r="B83" s="52"/>
      <c r="C83" s="53"/>
      <c r="D83" s="54"/>
      <c r="E83" s="55"/>
      <c r="F83" s="55"/>
      <c r="G83" s="56"/>
      <c r="H83" s="9"/>
    </row>
    <row r="84" spans="1:8" ht="18" x14ac:dyDescent="0.25">
      <c r="A84" s="57"/>
      <c r="B84" s="58" t="s">
        <v>83</v>
      </c>
      <c r="C84" s="59"/>
      <c r="D84" s="60"/>
      <c r="E84" s="61"/>
      <c r="F84" s="61">
        <f>SUM(F20:F83)</f>
        <v>208129193.65686759</v>
      </c>
      <c r="G84" s="62"/>
      <c r="H84" s="9"/>
    </row>
    <row r="85" spans="1:8" ht="16.5" thickBot="1" x14ac:dyDescent="0.3">
      <c r="A85" s="63"/>
      <c r="B85" s="64"/>
      <c r="C85" s="65"/>
      <c r="D85" s="66"/>
      <c r="E85" s="67"/>
      <c r="F85" s="67"/>
      <c r="G85" s="68"/>
      <c r="H85" s="9"/>
    </row>
    <row r="86" spans="1:8" ht="18" x14ac:dyDescent="0.25">
      <c r="A86" s="9"/>
      <c r="B86" s="69"/>
      <c r="C86" s="70"/>
      <c r="D86" s="71" t="s">
        <v>84</v>
      </c>
      <c r="E86" s="72">
        <f>F84</f>
        <v>208129193.65686759</v>
      </c>
      <c r="F86" s="72"/>
      <c r="G86" s="73"/>
      <c r="H86" s="9"/>
    </row>
    <row r="87" spans="1:8" ht="18" x14ac:dyDescent="0.25">
      <c r="A87" s="74" t="s">
        <v>85</v>
      </c>
      <c r="B87" s="69"/>
      <c r="C87" s="70"/>
      <c r="D87" s="71" t="s">
        <v>86</v>
      </c>
      <c r="E87" s="75"/>
      <c r="F87" s="75"/>
      <c r="G87" s="73"/>
      <c r="H87" s="9"/>
    </row>
    <row r="88" spans="1:8" ht="18.75" thickBot="1" x14ac:dyDescent="0.3">
      <c r="A88" s="74" t="s">
        <v>87</v>
      </c>
      <c r="B88" s="69"/>
      <c r="C88" s="70"/>
      <c r="D88" s="71" t="s">
        <v>88</v>
      </c>
      <c r="E88" s="76">
        <f>E86+E87</f>
        <v>208129193.65686759</v>
      </c>
      <c r="F88" s="76"/>
      <c r="G88" s="73"/>
      <c r="H88" s="9"/>
    </row>
    <row r="89" spans="1:8" ht="16.5" thickTop="1" x14ac:dyDescent="0.25">
      <c r="A89" s="74" t="s">
        <v>89</v>
      </c>
      <c r="B89" s="69"/>
      <c r="C89" s="77"/>
      <c r="D89" s="78"/>
      <c r="E89" s="79"/>
      <c r="F89" s="79"/>
      <c r="G89" s="73"/>
      <c r="H89" s="9"/>
    </row>
    <row r="90" spans="1:8" ht="15.75" x14ac:dyDescent="0.25">
      <c r="A90" s="74" t="s">
        <v>90</v>
      </c>
      <c r="B90" s="69"/>
      <c r="C90" s="77"/>
      <c r="D90" s="80"/>
      <c r="E90" s="79"/>
      <c r="F90" s="79"/>
      <c r="G90" s="73"/>
      <c r="H90" s="9"/>
    </row>
    <row r="91" spans="1:8" x14ac:dyDescent="0.25">
      <c r="A91" s="9"/>
      <c r="B91" s="69"/>
      <c r="C91" s="77"/>
      <c r="D91" s="80"/>
      <c r="E91" s="79"/>
      <c r="F91" s="79"/>
      <c r="G91" s="73"/>
      <c r="H91" s="9"/>
    </row>
    <row r="92" spans="1:8" ht="15.75" x14ac:dyDescent="0.25">
      <c r="A92" s="81" t="s">
        <v>91</v>
      </c>
      <c r="B92" s="82"/>
      <c r="C92" s="83"/>
      <c r="D92" s="80"/>
      <c r="E92" s="79"/>
      <c r="F92" s="79"/>
      <c r="G92" s="73"/>
      <c r="H92" s="9"/>
    </row>
    <row r="93" spans="1:8" ht="36" customHeight="1" x14ac:dyDescent="0.25">
      <c r="A93" s="84" t="s">
        <v>92</v>
      </c>
      <c r="B93" s="84"/>
      <c r="C93" s="84"/>
      <c r="D93" s="84"/>
      <c r="E93" s="84"/>
      <c r="F93" s="84"/>
      <c r="G93" s="84"/>
      <c r="H93" s="9"/>
    </row>
    <row r="94" spans="1:8" ht="36" customHeight="1" x14ac:dyDescent="0.25">
      <c r="A94" s="84" t="s">
        <v>93</v>
      </c>
      <c r="B94" s="84"/>
      <c r="C94" s="84"/>
      <c r="D94" s="84"/>
      <c r="E94" s="84"/>
      <c r="F94" s="84"/>
      <c r="G94" s="84"/>
      <c r="H94" s="9"/>
    </row>
    <row r="95" spans="1:8" ht="15.75" x14ac:dyDescent="0.25">
      <c r="A95" s="85"/>
      <c r="B95" s="82"/>
      <c r="C95" s="83"/>
      <c r="D95" s="80"/>
      <c r="E95" s="79"/>
      <c r="F95" s="79"/>
      <c r="G95" s="73"/>
      <c r="H95" s="9"/>
    </row>
    <row r="96" spans="1:8" ht="17.25" customHeight="1" x14ac:dyDescent="0.25">
      <c r="A96" s="85" t="s">
        <v>94</v>
      </c>
      <c r="B96" s="82"/>
      <c r="C96" s="83"/>
      <c r="D96" s="80"/>
      <c r="E96" s="79"/>
      <c r="F96" s="79"/>
      <c r="G96" s="73"/>
      <c r="H96" s="9"/>
    </row>
    <row r="97" spans="1:8" ht="17.25" customHeight="1" x14ac:dyDescent="0.25">
      <c r="A97" s="85" t="s">
        <v>95</v>
      </c>
      <c r="B97" s="82"/>
      <c r="C97" s="83"/>
      <c r="D97" s="80"/>
      <c r="E97" s="79"/>
      <c r="F97" s="79"/>
      <c r="G97" s="73"/>
      <c r="H97" s="9"/>
    </row>
    <row r="98" spans="1:8" x14ac:dyDescent="0.25">
      <c r="A98" s="9"/>
      <c r="B98" s="69"/>
      <c r="C98" s="77"/>
      <c r="D98" s="80"/>
      <c r="E98" s="79"/>
      <c r="F98" s="79"/>
      <c r="G98" s="73"/>
      <c r="H98" s="9"/>
    </row>
    <row r="99" spans="1:8" x14ac:dyDescent="0.25">
      <c r="A99" s="9"/>
      <c r="B99" s="69"/>
      <c r="C99" s="77"/>
      <c r="D99" s="80"/>
      <c r="E99" s="79"/>
      <c r="F99" s="79"/>
      <c r="G99" s="73"/>
      <c r="H99" s="9"/>
    </row>
    <row r="100" spans="1:8" x14ac:dyDescent="0.25">
      <c r="A100" s="9"/>
      <c r="B100" s="69"/>
      <c r="C100" s="77"/>
      <c r="D100" s="80"/>
      <c r="E100" s="9"/>
      <c r="F100" s="9"/>
      <c r="G100" s="73"/>
      <c r="H100" s="9"/>
    </row>
    <row r="101" spans="1:8" x14ac:dyDescent="0.25">
      <c r="A101" s="9"/>
      <c r="B101" s="69"/>
      <c r="C101" s="77"/>
      <c r="D101" s="80"/>
      <c r="E101" s="9"/>
      <c r="F101" s="9"/>
      <c r="G101" s="73"/>
      <c r="H101" s="9"/>
    </row>
    <row r="102" spans="1:8" x14ac:dyDescent="0.25">
      <c r="A102" s="9"/>
      <c r="B102" s="69"/>
      <c r="C102" s="77"/>
      <c r="D102" s="80"/>
      <c r="E102" s="9"/>
      <c r="F102" s="9"/>
      <c r="G102" s="73"/>
      <c r="H102" s="9"/>
    </row>
    <row r="103" spans="1:8" x14ac:dyDescent="0.25">
      <c r="A103" s="86"/>
      <c r="B103" s="87"/>
      <c r="C103" s="83"/>
      <c r="D103" s="88"/>
      <c r="E103" s="86"/>
      <c r="F103" s="86"/>
      <c r="G103" s="89"/>
      <c r="H103" s="9"/>
    </row>
    <row r="104" spans="1:8" x14ac:dyDescent="0.25">
      <c r="A104" s="90" t="s">
        <v>96</v>
      </c>
      <c r="B104" s="82"/>
      <c r="C104" s="83"/>
      <c r="D104" s="91" t="s">
        <v>97</v>
      </c>
      <c r="E104" s="90"/>
      <c r="F104" s="90"/>
      <c r="G104" s="73"/>
      <c r="H104" s="9"/>
    </row>
    <row r="105" spans="1:8" x14ac:dyDescent="0.25">
      <c r="A105" s="90" t="str">
        <f>B10</f>
        <v>PT. JIANGYI MOLD TECHNOLOGY INDONESIA</v>
      </c>
      <c r="B105" s="82"/>
      <c r="C105" s="83"/>
      <c r="D105" s="91" t="s">
        <v>98</v>
      </c>
      <c r="E105" s="90"/>
      <c r="F105" s="90"/>
      <c r="G105" s="73"/>
      <c r="H105" s="9"/>
    </row>
    <row r="106" spans="1:8" x14ac:dyDescent="0.25">
      <c r="A106" s="90" t="s">
        <v>99</v>
      </c>
      <c r="B106" s="82"/>
      <c r="C106" s="83"/>
      <c r="D106" s="90" t="s">
        <v>99</v>
      </c>
      <c r="E106" s="90"/>
      <c r="F106" s="90"/>
      <c r="G106" s="73"/>
      <c r="H106" s="9"/>
    </row>
    <row r="107" spans="1:8" x14ac:dyDescent="0.25">
      <c r="A107" s="90"/>
      <c r="B107" s="69"/>
      <c r="C107" s="77"/>
      <c r="D107" s="80"/>
      <c r="E107" s="9"/>
      <c r="F107" s="9"/>
      <c r="G107" s="73"/>
      <c r="H107" s="9"/>
    </row>
    <row r="108" spans="1:8" x14ac:dyDescent="0.25">
      <c r="A108" s="90"/>
      <c r="B108" s="69"/>
      <c r="C108" s="77"/>
      <c r="D108" s="80"/>
      <c r="E108" s="9"/>
      <c r="F108" s="9"/>
      <c r="G108" s="73"/>
      <c r="H108" s="9"/>
    </row>
    <row r="109" spans="1:8" x14ac:dyDescent="0.25">
      <c r="A109" s="90"/>
      <c r="B109" s="69"/>
      <c r="C109" s="77"/>
      <c r="D109" s="80"/>
      <c r="E109" s="9"/>
      <c r="F109" s="9"/>
      <c r="G109" s="73"/>
      <c r="H109" s="9"/>
    </row>
    <row r="110" spans="1:8" x14ac:dyDescent="0.25">
      <c r="A110" s="9"/>
      <c r="B110" s="69"/>
      <c r="C110" s="77"/>
      <c r="D110" s="80"/>
      <c r="E110" s="9"/>
      <c r="F110" s="9"/>
      <c r="G110" s="73"/>
      <c r="H110" s="9"/>
    </row>
    <row r="111" spans="1:8" x14ac:dyDescent="0.25">
      <c r="A111" s="9"/>
      <c r="B111" s="69"/>
      <c r="C111" s="77"/>
      <c r="D111" s="80"/>
      <c r="E111" s="9"/>
      <c r="F111" s="9"/>
      <c r="G111" s="73"/>
      <c r="H111" s="9"/>
    </row>
    <row r="112" spans="1:8" x14ac:dyDescent="0.25">
      <c r="A112" s="9"/>
      <c r="B112" s="69"/>
      <c r="C112" s="77"/>
      <c r="D112" s="80"/>
      <c r="E112" s="9"/>
      <c r="F112" s="9"/>
      <c r="G112" s="73"/>
      <c r="H112" s="9"/>
    </row>
    <row r="113" spans="1:8" x14ac:dyDescent="0.25">
      <c r="A113" s="9"/>
      <c r="B113" s="69"/>
      <c r="C113" s="77"/>
      <c r="D113" s="80"/>
      <c r="E113" s="9"/>
      <c r="F113" s="9"/>
      <c r="G113" s="73"/>
      <c r="H113" s="9"/>
    </row>
    <row r="114" spans="1:8" x14ac:dyDescent="0.25">
      <c r="A114" s="9"/>
      <c r="B114" s="69"/>
      <c r="C114" s="77"/>
      <c r="D114" s="80"/>
      <c r="E114" s="9"/>
      <c r="F114" s="9"/>
      <c r="G114" s="73"/>
      <c r="H114" s="9"/>
    </row>
    <row r="115" spans="1:8" x14ac:dyDescent="0.25">
      <c r="A115" s="9"/>
      <c r="B115" s="69"/>
      <c r="C115" s="77"/>
      <c r="D115" s="80"/>
      <c r="E115" s="9"/>
      <c r="F115" s="9"/>
      <c r="G115" s="73"/>
      <c r="H115" s="9"/>
    </row>
    <row r="116" spans="1:8" x14ac:dyDescent="0.25">
      <c r="A116" s="9"/>
      <c r="B116" s="69"/>
      <c r="C116" s="77"/>
      <c r="D116" s="80"/>
      <c r="E116" s="9"/>
      <c r="F116" s="9"/>
      <c r="G116" s="73"/>
      <c r="H116" s="9"/>
    </row>
    <row r="117" spans="1:8" x14ac:dyDescent="0.25">
      <c r="A117" s="9"/>
      <c r="B117" s="69"/>
      <c r="C117" s="77"/>
      <c r="D117" s="80"/>
      <c r="E117" s="9"/>
      <c r="F117" s="9"/>
      <c r="G117" s="73"/>
      <c r="H117" s="9"/>
    </row>
    <row r="118" spans="1:8" x14ac:dyDescent="0.25">
      <c r="A118" s="9"/>
      <c r="B118" s="69"/>
      <c r="C118" s="77"/>
      <c r="D118" s="80"/>
      <c r="E118" s="9"/>
      <c r="F118" s="9"/>
      <c r="G118" s="73"/>
      <c r="H118" s="9"/>
    </row>
    <row r="119" spans="1:8" x14ac:dyDescent="0.25">
      <c r="A119" s="9"/>
      <c r="B119" s="69"/>
      <c r="C119" s="77"/>
      <c r="D119" s="80"/>
      <c r="E119" s="9"/>
      <c r="F119" s="9"/>
      <c r="G119" s="73"/>
      <c r="H119" s="9"/>
    </row>
    <row r="120" spans="1:8" x14ac:dyDescent="0.25">
      <c r="A120" s="9"/>
      <c r="B120" s="69"/>
      <c r="C120" s="77"/>
      <c r="D120" s="80"/>
      <c r="E120" s="9"/>
      <c r="F120" s="9"/>
      <c r="G120" s="73"/>
      <c r="H120" s="9"/>
    </row>
    <row r="121" spans="1:8" x14ac:dyDescent="0.25">
      <c r="A121" s="9"/>
      <c r="B121" s="69"/>
      <c r="C121" s="77"/>
      <c r="D121" s="80"/>
      <c r="E121" s="9"/>
      <c r="F121" s="9"/>
      <c r="G121" s="73"/>
      <c r="H121" s="9"/>
    </row>
    <row r="122" spans="1:8" x14ac:dyDescent="0.25">
      <c r="A122" s="9"/>
      <c r="B122" s="69"/>
      <c r="C122" s="77"/>
      <c r="D122" s="80"/>
      <c r="E122" s="9"/>
      <c r="F122" s="9"/>
      <c r="G122" s="73"/>
      <c r="H122" s="9"/>
    </row>
    <row r="123" spans="1:8" x14ac:dyDescent="0.25">
      <c r="A123" s="9"/>
      <c r="B123" s="69"/>
      <c r="C123" s="77"/>
      <c r="D123" s="80"/>
      <c r="E123" s="9"/>
      <c r="F123" s="9"/>
      <c r="G123" s="73"/>
      <c r="H123" s="9"/>
    </row>
    <row r="124" spans="1:8" x14ac:dyDescent="0.25">
      <c r="A124" s="9"/>
      <c r="B124" s="69"/>
      <c r="C124" s="77"/>
      <c r="D124" s="80"/>
      <c r="E124" s="9"/>
      <c r="F124" s="9"/>
      <c r="G124" s="73"/>
      <c r="H124" s="9"/>
    </row>
    <row r="125" spans="1:8" x14ac:dyDescent="0.25">
      <c r="A125" s="9"/>
      <c r="B125" s="69"/>
      <c r="C125" s="77"/>
      <c r="D125" s="80"/>
      <c r="E125" s="9"/>
      <c r="F125" s="9"/>
      <c r="G125" s="73"/>
      <c r="H125" s="9"/>
    </row>
    <row r="126" spans="1:8" x14ac:dyDescent="0.25">
      <c r="A126" s="9"/>
      <c r="B126" s="69"/>
      <c r="C126" s="77"/>
      <c r="D126" s="80"/>
      <c r="E126" s="9"/>
      <c r="F126" s="9"/>
      <c r="G126" s="73"/>
      <c r="H126" s="9"/>
    </row>
    <row r="127" spans="1:8" x14ac:dyDescent="0.25">
      <c r="A127" s="9"/>
      <c r="B127" s="69"/>
      <c r="C127" s="77"/>
      <c r="D127" s="80"/>
      <c r="E127" s="9"/>
      <c r="F127" s="9"/>
      <c r="G127" s="73"/>
      <c r="H127" s="9"/>
    </row>
    <row r="128" spans="1:8" x14ac:dyDescent="0.25">
      <c r="A128" s="9"/>
      <c r="B128" s="69"/>
      <c r="C128" s="77"/>
      <c r="D128" s="80"/>
      <c r="E128" s="9"/>
      <c r="F128" s="9"/>
      <c r="G128" s="73"/>
      <c r="H128" s="9"/>
    </row>
    <row r="129" spans="1:8" x14ac:dyDescent="0.25">
      <c r="A129" s="9"/>
      <c r="B129" s="69"/>
      <c r="C129" s="77"/>
      <c r="D129" s="80"/>
      <c r="E129" s="9"/>
      <c r="F129" s="9"/>
      <c r="G129" s="73"/>
      <c r="H129" s="9"/>
    </row>
    <row r="130" spans="1:8" x14ac:dyDescent="0.25">
      <c r="A130" s="9"/>
      <c r="B130" s="69"/>
      <c r="C130" s="77"/>
      <c r="D130" s="80"/>
      <c r="E130" s="9"/>
      <c r="F130" s="9"/>
      <c r="G130" s="73"/>
      <c r="H130" s="9"/>
    </row>
    <row r="131" spans="1:8" x14ac:dyDescent="0.25">
      <c r="A131" s="9"/>
      <c r="B131" s="69"/>
      <c r="C131" s="77"/>
      <c r="D131" s="80"/>
      <c r="E131" s="9"/>
      <c r="F131" s="9"/>
      <c r="G131" s="73"/>
      <c r="H131" s="9"/>
    </row>
    <row r="132" spans="1:8" x14ac:dyDescent="0.25">
      <c r="A132" s="9"/>
      <c r="B132" s="69"/>
      <c r="C132" s="77"/>
      <c r="D132" s="80"/>
      <c r="E132" s="9"/>
      <c r="F132" s="9"/>
      <c r="G132" s="73"/>
      <c r="H132" s="9"/>
    </row>
    <row r="133" spans="1:8" x14ac:dyDescent="0.25">
      <c r="A133" s="9"/>
      <c r="B133" s="69"/>
      <c r="C133" s="77"/>
      <c r="D133" s="80"/>
      <c r="E133" s="9"/>
      <c r="F133" s="9"/>
      <c r="G133" s="73"/>
      <c r="H133" s="9"/>
    </row>
    <row r="134" spans="1:8" x14ac:dyDescent="0.25">
      <c r="A134" s="9"/>
      <c r="B134" s="69"/>
      <c r="C134" s="77"/>
      <c r="D134" s="80"/>
      <c r="E134" s="9"/>
      <c r="F134" s="9"/>
      <c r="G134" s="73"/>
      <c r="H134" s="9"/>
    </row>
    <row r="135" spans="1:8" x14ac:dyDescent="0.25">
      <c r="A135" s="9"/>
      <c r="B135" s="69"/>
      <c r="C135" s="77"/>
      <c r="D135" s="80"/>
      <c r="E135" s="9"/>
      <c r="F135" s="9"/>
      <c r="G135" s="73"/>
      <c r="H135" s="9"/>
    </row>
    <row r="136" spans="1:8" x14ac:dyDescent="0.25">
      <c r="A136" s="9"/>
      <c r="B136" s="69"/>
      <c r="C136" s="77"/>
      <c r="D136" s="80"/>
      <c r="E136" s="9"/>
      <c r="F136" s="9"/>
      <c r="G136" s="73"/>
      <c r="H136" s="9"/>
    </row>
    <row r="137" spans="1:8" x14ac:dyDescent="0.25">
      <c r="A137" s="9"/>
      <c r="B137" s="69"/>
      <c r="C137" s="77"/>
      <c r="D137" s="80"/>
      <c r="E137" s="9"/>
      <c r="F137" s="9"/>
      <c r="G137" s="73"/>
      <c r="H137" s="9"/>
    </row>
    <row r="138" spans="1:8" x14ac:dyDescent="0.25">
      <c r="A138" s="9"/>
      <c r="B138" s="69"/>
      <c r="C138" s="77"/>
      <c r="D138" s="80"/>
      <c r="E138" s="9"/>
      <c r="F138" s="9"/>
      <c r="G138" s="73"/>
      <c r="H138" s="9"/>
    </row>
    <row r="139" spans="1:8" x14ac:dyDescent="0.25">
      <c r="A139" s="9"/>
      <c r="B139" s="69"/>
      <c r="C139" s="77"/>
      <c r="D139" s="80"/>
      <c r="E139" s="9"/>
      <c r="F139" s="9"/>
      <c r="G139" s="73"/>
      <c r="H139" s="9"/>
    </row>
    <row r="140" spans="1:8" x14ac:dyDescent="0.25">
      <c r="A140" s="9"/>
      <c r="B140" s="69"/>
      <c r="C140" s="77"/>
      <c r="D140" s="80"/>
      <c r="E140" s="9"/>
      <c r="F140" s="9"/>
      <c r="G140" s="73"/>
      <c r="H140" s="9"/>
    </row>
    <row r="141" spans="1:8" x14ac:dyDescent="0.25">
      <c r="A141" s="9"/>
      <c r="B141" s="69"/>
      <c r="C141" s="77"/>
      <c r="D141" s="80"/>
      <c r="E141" s="9"/>
      <c r="F141" s="9"/>
      <c r="G141" s="73"/>
      <c r="H141" s="9"/>
    </row>
    <row r="142" spans="1:8" x14ac:dyDescent="0.25">
      <c r="A142" s="9"/>
      <c r="B142" s="69"/>
      <c r="C142" s="77"/>
      <c r="D142" s="80"/>
      <c r="E142" s="9"/>
      <c r="F142" s="9"/>
      <c r="G142" s="73"/>
      <c r="H142" s="9"/>
    </row>
    <row r="143" spans="1:8" x14ac:dyDescent="0.25">
      <c r="A143" s="9"/>
      <c r="B143" s="69"/>
      <c r="C143" s="77"/>
      <c r="D143" s="80"/>
      <c r="E143" s="9"/>
      <c r="F143" s="9"/>
      <c r="G143" s="73"/>
      <c r="H143" s="9"/>
    </row>
    <row r="144" spans="1:8" x14ac:dyDescent="0.25">
      <c r="A144" s="9"/>
      <c r="B144" s="69"/>
      <c r="C144" s="77"/>
      <c r="D144" s="80"/>
      <c r="E144" s="9"/>
      <c r="F144" s="9"/>
      <c r="G144" s="73"/>
      <c r="H144" s="9"/>
    </row>
    <row r="145" spans="1:8" x14ac:dyDescent="0.25">
      <c r="A145" s="9"/>
      <c r="B145" s="69"/>
      <c r="C145" s="77"/>
      <c r="D145" s="80"/>
      <c r="E145" s="9"/>
      <c r="F145" s="9"/>
      <c r="G145" s="73"/>
      <c r="H145" s="9"/>
    </row>
    <row r="146" spans="1:8" x14ac:dyDescent="0.25">
      <c r="A146" s="9"/>
      <c r="B146" s="69"/>
      <c r="C146" s="77"/>
      <c r="D146" s="80"/>
      <c r="E146" s="9"/>
      <c r="F146" s="9"/>
      <c r="G146" s="73"/>
      <c r="H146" s="9"/>
    </row>
    <row r="147" spans="1:8" x14ac:dyDescent="0.25">
      <c r="A147" s="9"/>
      <c r="B147" s="69"/>
      <c r="C147" s="77"/>
      <c r="D147" s="80"/>
      <c r="E147" s="9"/>
      <c r="F147" s="9"/>
      <c r="G147" s="73"/>
      <c r="H147" s="9"/>
    </row>
    <row r="148" spans="1:8" x14ac:dyDescent="0.25">
      <c r="A148" s="9"/>
      <c r="B148" s="69"/>
      <c r="C148" s="77"/>
      <c r="D148" s="80"/>
      <c r="E148" s="9"/>
      <c r="F148" s="9"/>
      <c r="G148" s="73"/>
      <c r="H148" s="9"/>
    </row>
    <row r="149" spans="1:8" x14ac:dyDescent="0.25">
      <c r="A149" s="9"/>
      <c r="B149" s="69"/>
      <c r="C149" s="77"/>
      <c r="D149" s="80"/>
      <c r="E149" s="9"/>
      <c r="F149" s="9"/>
      <c r="G149" s="73"/>
      <c r="H149" s="9"/>
    </row>
    <row r="150" spans="1:8" x14ac:dyDescent="0.25">
      <c r="A150" s="9"/>
      <c r="B150" s="69"/>
      <c r="C150" s="77"/>
      <c r="D150" s="80"/>
      <c r="E150" s="9"/>
      <c r="F150" s="9"/>
      <c r="G150" s="73"/>
      <c r="H150" s="9"/>
    </row>
    <row r="151" spans="1:8" x14ac:dyDescent="0.25">
      <c r="A151" s="9"/>
      <c r="B151" s="69"/>
      <c r="C151" s="77"/>
      <c r="D151" s="80"/>
      <c r="E151" s="9"/>
      <c r="F151" s="9"/>
      <c r="G151" s="73"/>
      <c r="H151" s="9"/>
    </row>
    <row r="152" spans="1:8" x14ac:dyDescent="0.25">
      <c r="A152" s="9"/>
      <c r="B152" s="69"/>
      <c r="C152" s="77"/>
      <c r="D152" s="80"/>
      <c r="E152" s="9"/>
      <c r="F152" s="9"/>
      <c r="G152" s="73"/>
      <c r="H152" s="9"/>
    </row>
    <row r="153" spans="1:8" x14ac:dyDescent="0.25">
      <c r="A153" s="9"/>
      <c r="B153" s="69"/>
      <c r="C153" s="77"/>
      <c r="D153" s="80"/>
      <c r="E153" s="9"/>
      <c r="F153" s="9"/>
      <c r="G153" s="73"/>
      <c r="H153" s="9"/>
    </row>
    <row r="154" spans="1:8" x14ac:dyDescent="0.25">
      <c r="A154" s="9"/>
      <c r="B154" s="69"/>
      <c r="C154" s="77"/>
      <c r="D154" s="80"/>
      <c r="E154" s="9"/>
      <c r="F154" s="9"/>
      <c r="G154" s="73"/>
      <c r="H154" s="9"/>
    </row>
    <row r="155" spans="1:8" x14ac:dyDescent="0.25">
      <c r="A155" s="9"/>
      <c r="B155" s="69"/>
      <c r="C155" s="77"/>
      <c r="D155" s="80"/>
      <c r="E155" s="9"/>
      <c r="F155" s="9"/>
      <c r="G155" s="73"/>
      <c r="H155" s="9"/>
    </row>
    <row r="156" spans="1:8" x14ac:dyDescent="0.25">
      <c r="A156" s="9"/>
      <c r="B156" s="69"/>
      <c r="C156" s="77"/>
      <c r="D156" s="80"/>
      <c r="E156" s="9"/>
      <c r="F156" s="9"/>
      <c r="G156" s="73"/>
      <c r="H156" s="9"/>
    </row>
    <row r="157" spans="1:8" x14ac:dyDescent="0.25">
      <c r="A157" s="9"/>
      <c r="B157" s="69"/>
      <c r="C157" s="77"/>
      <c r="D157" s="80"/>
      <c r="E157" s="9"/>
      <c r="F157" s="9"/>
      <c r="G157" s="73"/>
      <c r="H157" s="9"/>
    </row>
    <row r="158" spans="1:8" x14ac:dyDescent="0.25">
      <c r="A158" s="9"/>
      <c r="B158" s="69"/>
      <c r="C158" s="77"/>
      <c r="D158" s="80"/>
      <c r="E158" s="9"/>
      <c r="F158" s="9"/>
      <c r="G158" s="73"/>
      <c r="H158" s="9"/>
    </row>
    <row r="159" spans="1:8" x14ac:dyDescent="0.25">
      <c r="A159" s="9"/>
      <c r="B159" s="69"/>
      <c r="C159" s="77"/>
      <c r="D159" s="80"/>
      <c r="E159" s="9"/>
      <c r="F159" s="9"/>
      <c r="G159" s="73"/>
      <c r="H159" s="9"/>
    </row>
    <row r="160" spans="1:8" x14ac:dyDescent="0.25">
      <c r="A160" s="9"/>
      <c r="B160" s="69"/>
      <c r="C160" s="77"/>
      <c r="D160" s="80"/>
      <c r="E160" s="9"/>
      <c r="F160" s="9"/>
      <c r="G160" s="73"/>
      <c r="H160" s="9"/>
    </row>
    <row r="161" spans="1:8" x14ac:dyDescent="0.25">
      <c r="A161" s="9"/>
      <c r="B161" s="69"/>
      <c r="C161" s="77"/>
      <c r="D161" s="80"/>
      <c r="E161" s="9"/>
      <c r="F161" s="9"/>
      <c r="G161" s="73"/>
      <c r="H161" s="9"/>
    </row>
    <row r="162" spans="1:8" x14ac:dyDescent="0.25">
      <c r="A162" s="9"/>
      <c r="B162" s="69"/>
      <c r="C162" s="77"/>
      <c r="D162" s="80"/>
      <c r="E162" s="9"/>
      <c r="F162" s="9"/>
      <c r="G162" s="73"/>
      <c r="H162" s="9"/>
    </row>
    <row r="163" spans="1:8" x14ac:dyDescent="0.25">
      <c r="A163" s="9"/>
      <c r="B163" s="69"/>
      <c r="C163" s="77"/>
      <c r="D163" s="80"/>
      <c r="E163" s="9"/>
      <c r="F163" s="9"/>
      <c r="G163" s="73"/>
      <c r="H163" s="9"/>
    </row>
    <row r="164" spans="1:8" x14ac:dyDescent="0.25">
      <c r="A164" s="9"/>
      <c r="B164" s="69"/>
      <c r="C164" s="77"/>
      <c r="D164" s="80"/>
      <c r="E164" s="9"/>
      <c r="F164" s="9"/>
      <c r="G164" s="73"/>
      <c r="H164" s="9"/>
    </row>
    <row r="165" spans="1:8" x14ac:dyDescent="0.25">
      <c r="A165" s="9"/>
      <c r="B165" s="69"/>
      <c r="C165" s="77"/>
      <c r="D165" s="80"/>
      <c r="E165" s="9"/>
      <c r="F165" s="9"/>
      <c r="G165" s="73"/>
      <c r="H165" s="9"/>
    </row>
    <row r="166" spans="1:8" x14ac:dyDescent="0.25">
      <c r="A166" s="9"/>
      <c r="B166" s="69"/>
      <c r="C166" s="77"/>
      <c r="D166" s="80"/>
      <c r="E166" s="9"/>
      <c r="F166" s="9"/>
      <c r="G166" s="73"/>
      <c r="H166" s="9"/>
    </row>
    <row r="167" spans="1:8" x14ac:dyDescent="0.25">
      <c r="A167" s="9"/>
      <c r="B167" s="69"/>
      <c r="C167" s="77"/>
      <c r="D167" s="80"/>
      <c r="E167" s="9"/>
      <c r="F167" s="9"/>
      <c r="G167" s="73"/>
      <c r="H167" s="9"/>
    </row>
    <row r="168" spans="1:8" x14ac:dyDescent="0.25">
      <c r="A168" s="9"/>
      <c r="B168" s="69"/>
      <c r="C168" s="77"/>
      <c r="D168" s="80"/>
      <c r="E168" s="9"/>
      <c r="F168" s="9"/>
      <c r="G168" s="73"/>
      <c r="H168" s="9"/>
    </row>
    <row r="169" spans="1:8" x14ac:dyDescent="0.25">
      <c r="A169" s="9"/>
      <c r="B169" s="69"/>
      <c r="C169" s="77"/>
      <c r="D169" s="80"/>
      <c r="E169" s="9"/>
      <c r="F169" s="9"/>
      <c r="G169" s="73"/>
      <c r="H169" s="9"/>
    </row>
    <row r="170" spans="1:8" x14ac:dyDescent="0.25">
      <c r="A170" s="9"/>
      <c r="B170" s="69"/>
      <c r="C170" s="77"/>
      <c r="D170" s="80"/>
      <c r="E170" s="9"/>
      <c r="F170" s="9"/>
      <c r="G170" s="73"/>
      <c r="H170" s="9"/>
    </row>
    <row r="171" spans="1:8" x14ac:dyDescent="0.25">
      <c r="A171" s="9"/>
      <c r="B171" s="69"/>
      <c r="C171" s="77"/>
      <c r="D171" s="80"/>
      <c r="E171" s="9"/>
      <c r="F171" s="9"/>
      <c r="G171" s="73"/>
      <c r="H171" s="9"/>
    </row>
    <row r="172" spans="1:8" x14ac:dyDescent="0.25">
      <c r="A172" s="9"/>
      <c r="B172" s="69"/>
      <c r="C172" s="77"/>
      <c r="D172" s="80"/>
      <c r="E172" s="9"/>
      <c r="F172" s="9"/>
      <c r="G172" s="73"/>
      <c r="H172" s="9"/>
    </row>
    <row r="173" spans="1:8" x14ac:dyDescent="0.25">
      <c r="A173" s="9"/>
      <c r="B173" s="69"/>
      <c r="C173" s="77"/>
      <c r="D173" s="80"/>
      <c r="E173" s="9"/>
      <c r="F173" s="9"/>
      <c r="G173" s="73"/>
      <c r="H173" s="9"/>
    </row>
    <row r="174" spans="1:8" x14ac:dyDescent="0.25">
      <c r="A174" s="9"/>
      <c r="B174" s="69"/>
      <c r="C174" s="77"/>
      <c r="D174" s="80"/>
      <c r="E174" s="9"/>
      <c r="F174" s="9"/>
      <c r="G174" s="73"/>
      <c r="H174" s="9"/>
    </row>
    <row r="175" spans="1:8" x14ac:dyDescent="0.25">
      <c r="A175" s="9"/>
      <c r="B175" s="69"/>
      <c r="C175" s="77"/>
      <c r="D175" s="80"/>
      <c r="E175" s="9"/>
      <c r="F175" s="9"/>
      <c r="G175" s="73"/>
      <c r="H175" s="9"/>
    </row>
    <row r="176" spans="1:8" x14ac:dyDescent="0.25">
      <c r="A176" s="9"/>
      <c r="B176" s="69"/>
      <c r="C176" s="77"/>
      <c r="D176" s="80"/>
      <c r="E176" s="9"/>
      <c r="F176" s="9"/>
      <c r="G176" s="73"/>
      <c r="H176" s="9"/>
    </row>
    <row r="177" spans="1:8" x14ac:dyDescent="0.25">
      <c r="A177" s="9"/>
      <c r="B177" s="69"/>
      <c r="C177" s="77"/>
      <c r="D177" s="9"/>
      <c r="E177" s="9"/>
      <c r="F177" s="9"/>
      <c r="G177" s="73"/>
      <c r="H177" s="9"/>
    </row>
    <row r="178" spans="1:8" x14ac:dyDescent="0.25">
      <c r="A178" s="9"/>
      <c r="B178" s="69"/>
      <c r="C178" s="77"/>
      <c r="D178" s="9"/>
      <c r="E178" s="9"/>
      <c r="F178" s="9"/>
      <c r="G178" s="73"/>
      <c r="H178" s="9"/>
    </row>
    <row r="179" spans="1:8" x14ac:dyDescent="0.25">
      <c r="A179" s="9"/>
      <c r="B179" s="69"/>
      <c r="C179" s="77"/>
      <c r="D179" s="9"/>
      <c r="E179" s="9"/>
      <c r="F179" s="9"/>
      <c r="G179" s="73"/>
      <c r="H179" s="9"/>
    </row>
    <row r="180" spans="1:8" x14ac:dyDescent="0.25">
      <c r="A180" s="9"/>
      <c r="B180" s="69"/>
      <c r="C180" s="77"/>
      <c r="D180" s="9"/>
      <c r="E180" s="9"/>
      <c r="F180" s="9"/>
      <c r="G180" s="73"/>
      <c r="H180" s="9"/>
    </row>
    <row r="181" spans="1:8" x14ac:dyDescent="0.25">
      <c r="A181" s="9"/>
      <c r="B181" s="69"/>
      <c r="C181" s="77"/>
      <c r="D181" s="9"/>
      <c r="E181" s="9"/>
      <c r="F181" s="9"/>
      <c r="G181" s="73"/>
      <c r="H181" s="9"/>
    </row>
    <row r="182" spans="1:8" x14ac:dyDescent="0.25">
      <c r="A182" s="9"/>
      <c r="B182" s="69"/>
      <c r="C182" s="77"/>
      <c r="D182" s="9"/>
      <c r="E182" s="9"/>
      <c r="F182" s="9"/>
      <c r="G182" s="73"/>
      <c r="H182" s="9"/>
    </row>
    <row r="183" spans="1:8" x14ac:dyDescent="0.25">
      <c r="A183" s="9"/>
      <c r="B183" s="69"/>
      <c r="C183" s="77"/>
      <c r="D183" s="9"/>
      <c r="E183" s="9"/>
      <c r="F183" s="9"/>
      <c r="G183" s="73"/>
      <c r="H183" s="9"/>
    </row>
    <row r="184" spans="1:8" x14ac:dyDescent="0.25">
      <c r="A184" s="9"/>
      <c r="B184" s="69"/>
      <c r="C184" s="77"/>
      <c r="D184" s="9"/>
      <c r="E184" s="9"/>
      <c r="F184" s="9"/>
      <c r="G184" s="73"/>
      <c r="H184" s="9"/>
    </row>
    <row r="185" spans="1:8" x14ac:dyDescent="0.25">
      <c r="A185" s="9"/>
      <c r="B185" s="69"/>
      <c r="C185" s="77"/>
      <c r="D185" s="9"/>
      <c r="E185" s="9"/>
      <c r="F185" s="9"/>
      <c r="G185" s="73"/>
      <c r="H185" s="9"/>
    </row>
    <row r="186" spans="1:8" x14ac:dyDescent="0.25">
      <c r="A186" s="9"/>
      <c r="B186" s="69"/>
      <c r="C186" s="77"/>
      <c r="D186" s="9"/>
      <c r="E186" s="9"/>
      <c r="F186" s="9"/>
      <c r="G186" s="73"/>
      <c r="H186" s="9"/>
    </row>
    <row r="187" spans="1:8" x14ac:dyDescent="0.25">
      <c r="A187" s="9"/>
      <c r="B187" s="69"/>
      <c r="C187" s="77"/>
      <c r="D187" s="9"/>
      <c r="E187" s="9"/>
      <c r="F187" s="9"/>
      <c r="G187" s="73"/>
      <c r="H187" s="9"/>
    </row>
    <row r="188" spans="1:8" x14ac:dyDescent="0.25">
      <c r="A188" s="9"/>
      <c r="B188" s="69"/>
      <c r="C188" s="77"/>
      <c r="D188" s="9"/>
      <c r="E188" s="9"/>
      <c r="F188" s="9"/>
      <c r="G188" s="73"/>
      <c r="H188" s="9"/>
    </row>
    <row r="189" spans="1:8" x14ac:dyDescent="0.25">
      <c r="A189" s="9"/>
      <c r="B189" s="69"/>
      <c r="C189" s="77"/>
      <c r="D189" s="9"/>
      <c r="E189" s="9"/>
      <c r="F189" s="9"/>
      <c r="G189" s="73"/>
      <c r="H189" s="9"/>
    </row>
    <row r="190" spans="1:8" x14ac:dyDescent="0.25">
      <c r="A190" s="9"/>
      <c r="B190" s="69"/>
      <c r="C190" s="77"/>
      <c r="D190" s="9"/>
      <c r="E190" s="9"/>
      <c r="F190" s="9"/>
      <c r="G190" s="73"/>
      <c r="H190" s="9"/>
    </row>
    <row r="191" spans="1:8" x14ac:dyDescent="0.25">
      <c r="A191" s="9"/>
      <c r="B191" s="69"/>
      <c r="C191" s="77"/>
      <c r="D191" s="9"/>
      <c r="E191" s="9"/>
      <c r="F191" s="9"/>
      <c r="G191" s="73"/>
      <c r="H191" s="9"/>
    </row>
    <row r="192" spans="1:8" x14ac:dyDescent="0.25">
      <c r="A192" s="9"/>
      <c r="B192" s="69"/>
      <c r="C192" s="77"/>
      <c r="D192" s="9"/>
      <c r="E192" s="9"/>
      <c r="F192" s="9"/>
      <c r="G192" s="73"/>
      <c r="H192" s="9"/>
    </row>
    <row r="193" spans="1:8" x14ac:dyDescent="0.25">
      <c r="A193" s="9"/>
      <c r="B193" s="69"/>
      <c r="C193" s="77"/>
      <c r="D193" s="9"/>
      <c r="E193" s="9"/>
      <c r="F193" s="9"/>
      <c r="G193" s="73"/>
      <c r="H193" s="9"/>
    </row>
    <row r="194" spans="1:8" x14ac:dyDescent="0.25">
      <c r="A194" s="9"/>
      <c r="B194" s="69"/>
      <c r="C194" s="77"/>
      <c r="D194" s="9"/>
      <c r="E194" s="9"/>
      <c r="F194" s="9"/>
      <c r="G194" s="73"/>
      <c r="H194" s="9"/>
    </row>
    <row r="195" spans="1:8" x14ac:dyDescent="0.25">
      <c r="A195" s="9"/>
      <c r="B195" s="69"/>
      <c r="C195" s="77"/>
      <c r="D195" s="9"/>
      <c r="E195" s="9"/>
      <c r="F195" s="9"/>
      <c r="G195" s="73"/>
      <c r="H195" s="9"/>
    </row>
    <row r="196" spans="1:8" x14ac:dyDescent="0.25">
      <c r="A196" s="9"/>
      <c r="B196" s="69"/>
      <c r="C196" s="77"/>
      <c r="D196" s="9"/>
      <c r="E196" s="9"/>
      <c r="F196" s="9"/>
      <c r="G196" s="73"/>
      <c r="H196" s="9"/>
    </row>
    <row r="197" spans="1:8" x14ac:dyDescent="0.25">
      <c r="A197" s="9"/>
      <c r="B197" s="9"/>
      <c r="C197" s="77"/>
      <c r="D197" s="9"/>
      <c r="E197" s="9"/>
      <c r="F197" s="9"/>
      <c r="G197" s="73"/>
      <c r="H197" s="9"/>
    </row>
    <row r="198" spans="1:8" x14ac:dyDescent="0.25">
      <c r="A198" s="9"/>
      <c r="B198" s="9"/>
      <c r="C198" s="77"/>
      <c r="D198" s="9"/>
      <c r="E198" s="9"/>
      <c r="F198" s="9"/>
      <c r="G198" s="9"/>
      <c r="H198" s="9"/>
    </row>
    <row r="199" spans="1:8" x14ac:dyDescent="0.25">
      <c r="A199" s="9"/>
      <c r="B199" s="9"/>
      <c r="C199" s="77"/>
      <c r="D199" s="9"/>
      <c r="E199" s="9"/>
      <c r="F199" s="9"/>
      <c r="G199" s="9"/>
      <c r="H199" s="9"/>
    </row>
    <row r="200" spans="1:8" x14ac:dyDescent="0.25">
      <c r="A200" s="9"/>
      <c r="B200" s="9"/>
      <c r="C200" s="77"/>
      <c r="D200" s="9"/>
      <c r="E200" s="9"/>
      <c r="F200" s="9"/>
      <c r="G200" s="9"/>
      <c r="H200" s="9"/>
    </row>
    <row r="201" spans="1:8" x14ac:dyDescent="0.25">
      <c r="A201" s="9"/>
      <c r="B201" s="9"/>
      <c r="C201" s="77"/>
      <c r="D201" s="9"/>
      <c r="E201" s="9"/>
      <c r="F201" s="9"/>
      <c r="G201" s="9"/>
      <c r="H201" s="9"/>
    </row>
    <row r="202" spans="1:8" x14ac:dyDescent="0.25">
      <c r="A202" s="9"/>
      <c r="B202" s="9"/>
      <c r="C202" s="77"/>
      <c r="D202" s="9"/>
      <c r="E202" s="9"/>
      <c r="F202" s="9"/>
      <c r="G202" s="9"/>
      <c r="H202" s="9"/>
    </row>
    <row r="203" spans="1:8" x14ac:dyDescent="0.25">
      <c r="A203" s="9"/>
      <c r="B203" s="9"/>
      <c r="C203" s="77"/>
      <c r="D203" s="9"/>
      <c r="E203" s="9"/>
      <c r="F203" s="9"/>
      <c r="G203" s="9"/>
      <c r="H203" s="9"/>
    </row>
    <row r="204" spans="1:8" x14ac:dyDescent="0.25">
      <c r="A204" s="9"/>
      <c r="B204" s="9"/>
      <c r="C204" s="77"/>
      <c r="D204" s="9"/>
      <c r="E204" s="9"/>
      <c r="F204" s="9"/>
      <c r="G204" s="9"/>
      <c r="H204" s="9"/>
    </row>
    <row r="205" spans="1:8" x14ac:dyDescent="0.25">
      <c r="A205" s="9"/>
      <c r="B205" s="9"/>
      <c r="C205" s="77"/>
      <c r="D205" s="9"/>
      <c r="E205" s="9"/>
      <c r="F205" s="9"/>
      <c r="G205" s="9"/>
      <c r="H205" s="9"/>
    </row>
  </sheetData>
  <mergeCells count="6">
    <mergeCell ref="D1:G3"/>
    <mergeCell ref="E86:F86"/>
    <mergeCell ref="E87:F87"/>
    <mergeCell ref="E88:F88"/>
    <mergeCell ref="A93:G93"/>
    <mergeCell ref="A94:G94"/>
  </mergeCells>
  <pageMargins left="0.23622047244094491" right="0.23622047244094491" top="0.43307086614173229" bottom="0.62992125984251968" header="0.31496062992125984" footer="0.31496062992125984"/>
  <pageSetup scale="89" fitToHeight="0" orientation="portrait" r:id="rId1"/>
  <headerFooter>
    <oddFooter>&amp;R&amp;P</oddFooter>
  </headerFooter>
  <rowBreaks count="2" manualBreakCount="2">
    <brk id="58" max="16383" man="1"/>
    <brk id="7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B2B83-106C-49A1-9AD1-5D0BF0A5D0B2}">
  <dimension ref="B1:Z281"/>
  <sheetViews>
    <sheetView topLeftCell="A2" zoomScale="66" zoomScaleNormal="66" workbookViewId="0">
      <pane xSplit="7" ySplit="7" topLeftCell="H57" activePane="bottomRight" state="frozen"/>
      <selection activeCell="E65" sqref="E65"/>
      <selection pane="topRight" activeCell="E65" sqref="E65"/>
      <selection pane="bottomLeft" activeCell="E65" sqref="E65"/>
      <selection pane="bottomRight" activeCell="E65" sqref="E65"/>
    </sheetView>
  </sheetViews>
  <sheetFormatPr defaultColWidth="9.28515625" defaultRowHeight="14.25" x14ac:dyDescent="0.2"/>
  <cols>
    <col min="1" max="1" width="9.28515625" style="94"/>
    <col min="2" max="2" width="9.42578125" style="96" bestFit="1" customWidth="1"/>
    <col min="3" max="5" width="3.7109375" style="94" customWidth="1"/>
    <col min="6" max="6" width="12.5703125" style="94" customWidth="1"/>
    <col min="7" max="7" width="50" style="95" customWidth="1"/>
    <col min="8" max="8" width="22.7109375" style="94" bestFit="1" customWidth="1"/>
    <col min="9" max="16" width="4.7109375" style="94" hidden="1" customWidth="1"/>
    <col min="17" max="19" width="11.85546875" style="94" customWidth="1"/>
    <col min="20" max="21" width="9.28515625" style="94"/>
    <col min="22" max="22" width="7.7109375" style="94" customWidth="1"/>
    <col min="23" max="23" width="11.28515625" style="94" bestFit="1" customWidth="1"/>
    <col min="24" max="24" width="9.28515625" style="96"/>
    <col min="25" max="25" width="9.28515625" style="94"/>
    <col min="26" max="26" width="9.85546875" style="94" bestFit="1" customWidth="1"/>
    <col min="27" max="29" width="9.28515625" style="94"/>
    <col min="30" max="30" width="9.42578125" style="94" bestFit="1" customWidth="1"/>
    <col min="31" max="31" width="11.28515625" style="94" bestFit="1" customWidth="1"/>
    <col min="32" max="32" width="9.28515625" style="94"/>
    <col min="33" max="34" width="9.42578125" style="94" bestFit="1" customWidth="1"/>
    <col min="35" max="41" width="9.28515625" style="94"/>
    <col min="42" max="43" width="9.42578125" style="94" bestFit="1" customWidth="1"/>
    <col min="44" max="44" width="9.28515625" style="94"/>
    <col min="45" max="45" width="9.42578125" style="94" bestFit="1" customWidth="1"/>
    <col min="46" max="16384" width="9.28515625" style="94"/>
  </cols>
  <sheetData>
    <row r="1" spans="2:24" ht="15.75" x14ac:dyDescent="0.25">
      <c r="B1" s="93" t="s">
        <v>100</v>
      </c>
    </row>
    <row r="2" spans="2:24" ht="14.45" customHeight="1" x14ac:dyDescent="0.2">
      <c r="B2" s="94" t="str">
        <f>BOQ!A16</f>
        <v>Project项目: PEMBUATAN RUANG SELASAR GEDUNG PRODUKSI 生产车间连廊空间建设</v>
      </c>
    </row>
    <row r="3" spans="2:24" ht="14.45" customHeight="1" x14ac:dyDescent="0.2">
      <c r="B3" s="97" t="s">
        <v>101</v>
      </c>
    </row>
    <row r="4" spans="2:24" ht="15" customHeight="1" thickBot="1" x14ac:dyDescent="0.25"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9"/>
    </row>
    <row r="5" spans="2:24" ht="15.75" thickTop="1" x14ac:dyDescent="0.25">
      <c r="B5" s="100"/>
      <c r="C5" s="101"/>
      <c r="D5" s="101"/>
      <c r="E5" s="101"/>
      <c r="F5" s="101"/>
      <c r="G5" s="102"/>
      <c r="H5" s="101"/>
      <c r="X5" s="103"/>
    </row>
    <row r="6" spans="2:24" ht="15" x14ac:dyDescent="0.2">
      <c r="B6" s="104" t="s">
        <v>102</v>
      </c>
      <c r="C6" s="105" t="s">
        <v>103</v>
      </c>
      <c r="D6" s="106"/>
      <c r="E6" s="106"/>
      <c r="F6" s="106"/>
      <c r="G6" s="107"/>
      <c r="H6" s="108" t="s">
        <v>104</v>
      </c>
      <c r="I6" s="109" t="s">
        <v>105</v>
      </c>
      <c r="J6" s="110"/>
      <c r="K6" s="110"/>
      <c r="L6" s="110"/>
      <c r="M6" s="110"/>
      <c r="N6" s="110"/>
      <c r="O6" s="110"/>
      <c r="P6" s="111"/>
      <c r="Q6" s="109" t="s">
        <v>106</v>
      </c>
      <c r="R6" s="110"/>
      <c r="S6" s="110"/>
      <c r="T6" s="110"/>
      <c r="U6" s="111"/>
      <c r="V6" s="108" t="s">
        <v>107</v>
      </c>
      <c r="W6" s="108" t="s">
        <v>108</v>
      </c>
      <c r="X6" s="112" t="s">
        <v>109</v>
      </c>
    </row>
    <row r="7" spans="2:24" ht="14.45" customHeight="1" x14ac:dyDescent="0.2">
      <c r="B7" s="113"/>
      <c r="C7" s="114"/>
      <c r="D7" s="115"/>
      <c r="E7" s="115"/>
      <c r="F7" s="115"/>
      <c r="G7" s="116"/>
      <c r="H7" s="117"/>
      <c r="I7" s="108">
        <v>1.5</v>
      </c>
      <c r="J7" s="108">
        <v>4</v>
      </c>
      <c r="K7" s="108">
        <v>6</v>
      </c>
      <c r="L7" s="108">
        <v>12</v>
      </c>
      <c r="M7" s="108">
        <v>15</v>
      </c>
      <c r="N7" s="108">
        <v>25</v>
      </c>
      <c r="O7" s="108">
        <v>40</v>
      </c>
      <c r="P7" s="108">
        <v>50</v>
      </c>
      <c r="Q7" s="118" t="s">
        <v>110</v>
      </c>
      <c r="R7" s="118" t="s">
        <v>111</v>
      </c>
      <c r="S7" s="118" t="s">
        <v>112</v>
      </c>
      <c r="T7" s="108" t="s">
        <v>113</v>
      </c>
      <c r="U7" s="108" t="s">
        <v>114</v>
      </c>
      <c r="V7" s="117"/>
      <c r="W7" s="117"/>
      <c r="X7" s="119"/>
    </row>
    <row r="8" spans="2:24" ht="15" customHeight="1" thickBot="1" x14ac:dyDescent="0.25">
      <c r="B8" s="120"/>
      <c r="C8" s="121"/>
      <c r="D8" s="122"/>
      <c r="E8" s="122"/>
      <c r="F8" s="122"/>
      <c r="G8" s="123"/>
      <c r="H8" s="124"/>
      <c r="I8" s="124"/>
      <c r="J8" s="124"/>
      <c r="K8" s="124"/>
      <c r="L8" s="124"/>
      <c r="M8" s="124"/>
      <c r="N8" s="124"/>
      <c r="O8" s="124"/>
      <c r="P8" s="124"/>
      <c r="Q8" s="125" t="s">
        <v>115</v>
      </c>
      <c r="R8" s="126" t="s">
        <v>115</v>
      </c>
      <c r="S8" s="126" t="s">
        <v>115</v>
      </c>
      <c r="T8" s="124"/>
      <c r="U8" s="124"/>
      <c r="V8" s="124"/>
      <c r="W8" s="124"/>
      <c r="X8" s="127"/>
    </row>
    <row r="9" spans="2:24" s="129" customFormat="1" ht="15" thickTop="1" x14ac:dyDescent="0.2">
      <c r="B9" s="128"/>
      <c r="G9" s="130"/>
      <c r="X9" s="128"/>
    </row>
    <row r="10" spans="2:24" s="129" customFormat="1" ht="15" x14ac:dyDescent="0.25">
      <c r="B10" s="131" t="str">
        <f>BOQ!A20</f>
        <v>A</v>
      </c>
      <c r="C10" s="132" t="str">
        <f>BOQ!B20</f>
        <v>PEKERJAAN PERSIAPAN 施工准备工作</v>
      </c>
      <c r="G10" s="130"/>
      <c r="X10" s="128"/>
    </row>
    <row r="11" spans="2:24" s="129" customFormat="1" x14ac:dyDescent="0.2">
      <c r="B11" s="133">
        <f>BOQ!A21</f>
        <v>1</v>
      </c>
      <c r="C11" s="129" t="str">
        <f>BOQ!B21</f>
        <v>Mob dan Demobilisasi 设备和人员的进出场</v>
      </c>
      <c r="G11" s="130"/>
      <c r="W11" s="129">
        <v>1</v>
      </c>
      <c r="X11" s="128" t="s">
        <v>116</v>
      </c>
    </row>
    <row r="12" spans="2:24" s="129" customFormat="1" x14ac:dyDescent="0.2">
      <c r="B12" s="133">
        <f>BOQ!A22</f>
        <v>2</v>
      </c>
      <c r="C12" s="129" t="str">
        <f>BOQ!B22</f>
        <v>Alat Bantu Pekerjaan 施工辅助工具</v>
      </c>
      <c r="G12" s="130"/>
      <c r="W12" s="129">
        <v>1</v>
      </c>
      <c r="X12" s="128" t="s">
        <v>116</v>
      </c>
    </row>
    <row r="13" spans="2:24" s="129" customFormat="1" x14ac:dyDescent="0.2">
      <c r="B13" s="133">
        <f>BOQ!A23</f>
        <v>3</v>
      </c>
      <c r="C13" s="129" t="str">
        <f>BOQ!B23</f>
        <v xml:space="preserve">Safety </v>
      </c>
      <c r="G13" s="130"/>
      <c r="W13" s="129">
        <v>1</v>
      </c>
      <c r="X13" s="128" t="s">
        <v>116</v>
      </c>
    </row>
    <row r="14" spans="2:24" s="129" customFormat="1" x14ac:dyDescent="0.2">
      <c r="B14" s="133">
        <f>BOQ!A24</f>
        <v>4</v>
      </c>
      <c r="C14" s="129" t="str">
        <f>BOQ!B24</f>
        <v>Cleaning 清理</v>
      </c>
      <c r="G14" s="130"/>
      <c r="W14" s="129">
        <v>1</v>
      </c>
      <c r="X14" s="128" t="s">
        <v>116</v>
      </c>
    </row>
    <row r="15" spans="2:24" s="129" customFormat="1" ht="15" customHeight="1" x14ac:dyDescent="0.2">
      <c r="B15" s="133">
        <f>BOQ!A25</f>
        <v>0</v>
      </c>
      <c r="C15" s="129">
        <f>BOQ!B25</f>
        <v>0</v>
      </c>
      <c r="G15" s="130"/>
      <c r="X15" s="128"/>
    </row>
    <row r="16" spans="2:24" s="132" customFormat="1" ht="15" customHeight="1" x14ac:dyDescent="0.25">
      <c r="B16" s="134" t="str">
        <f>BOQ!A26</f>
        <v>B</v>
      </c>
      <c r="C16" s="132" t="str">
        <f>BOQ!B26</f>
        <v>RUANG SELASAR GEDUNG PRODUKSI (A &amp; B) A栋及B栋生产车间走廊区域</v>
      </c>
      <c r="G16" s="135"/>
      <c r="X16" s="131"/>
    </row>
    <row r="17" spans="2:26" s="129" customFormat="1" ht="15" customHeight="1" x14ac:dyDescent="0.2">
      <c r="B17" s="133">
        <f>BOQ!A27</f>
        <v>1</v>
      </c>
      <c r="C17" s="129" t="str">
        <f>BOQ!B27</f>
        <v>Pekerjaan Partisi UPVC 隔断工程</v>
      </c>
      <c r="G17" s="130"/>
      <c r="W17" s="136">
        <f>SUM(W23:W30)</f>
        <v>203.44274999999999</v>
      </c>
      <c r="X17" s="136" t="s">
        <v>117</v>
      </c>
      <c r="Y17" s="129">
        <f>W17*3%</f>
        <v>6.1032824999999997</v>
      </c>
      <c r="Z17" s="129">
        <f>W17-Y17</f>
        <v>197.33946749999998</v>
      </c>
    </row>
    <row r="18" spans="2:26" s="129" customFormat="1" x14ac:dyDescent="0.2">
      <c r="B18" s="133"/>
      <c r="C18" s="129" t="str">
        <f>BOQ!B28</f>
        <v>Spek :</v>
      </c>
      <c r="G18" s="130"/>
    </row>
    <row r="19" spans="2:26" s="129" customFormat="1" x14ac:dyDescent="0.2">
      <c r="B19" s="133" t="str">
        <f>BOQ!A29</f>
        <v>-</v>
      </c>
      <c r="C19" s="129" t="str">
        <f>BOQ!B29</f>
        <v>Partisi UPVC Single Layer 单层UPVC隔断</v>
      </c>
      <c r="G19" s="130"/>
    </row>
    <row r="20" spans="2:26" s="129" customFormat="1" x14ac:dyDescent="0.2">
      <c r="B20" s="133" t="str">
        <f>BOQ!A30</f>
        <v>-</v>
      </c>
      <c r="C20" s="129" t="str">
        <f>BOQ!B30</f>
        <v>Siku 50x50mm 角钢</v>
      </c>
      <c r="G20" s="130"/>
    </row>
    <row r="21" spans="2:26" s="129" customFormat="1" x14ac:dyDescent="0.2">
      <c r="B21" s="133" t="str">
        <f>BOQ!A31</f>
        <v>-</v>
      </c>
      <c r="C21" s="129" t="str">
        <f>BOQ!B31</f>
        <v>CNP 100x50x2,3mm C型钢</v>
      </c>
      <c r="G21" s="130"/>
      <c r="X21" s="128"/>
    </row>
    <row r="22" spans="2:26" s="129" customFormat="1" x14ac:dyDescent="0.2">
      <c r="B22" s="133" t="str">
        <f>BOQ!A32</f>
        <v>-</v>
      </c>
      <c r="C22" s="129" t="str">
        <f>BOQ!B32</f>
        <v>Pengecatan Rangka Partisi 隔断骨架油漆施工</v>
      </c>
      <c r="G22" s="130"/>
      <c r="X22" s="128"/>
    </row>
    <row r="23" spans="2:26" s="129" customFormat="1" x14ac:dyDescent="0.2">
      <c r="B23" s="133"/>
      <c r="G23" s="130" t="s">
        <v>118</v>
      </c>
      <c r="H23" s="129" t="s">
        <v>119</v>
      </c>
      <c r="Q23" s="129">
        <v>12.43</v>
      </c>
      <c r="S23" s="129">
        <v>4.8250000000000002</v>
      </c>
      <c r="U23" s="129">
        <v>1</v>
      </c>
      <c r="W23" s="129">
        <f>Q23*S23*U23</f>
        <v>59.97475</v>
      </c>
      <c r="X23" s="128"/>
    </row>
    <row r="24" spans="2:26" s="129" customFormat="1" x14ac:dyDescent="0.2">
      <c r="B24" s="133"/>
      <c r="G24" s="130"/>
      <c r="H24" s="129" t="s">
        <v>120</v>
      </c>
      <c r="Q24" s="129">
        <v>5.18</v>
      </c>
      <c r="S24" s="129">
        <f>(5.275+4.825)/2</f>
        <v>5.0500000000000007</v>
      </c>
      <c r="U24" s="129">
        <v>1</v>
      </c>
      <c r="W24" s="129">
        <f>Q24*S24*U24</f>
        <v>26.159000000000002</v>
      </c>
      <c r="X24" s="128"/>
    </row>
    <row r="25" spans="2:26" s="129" customFormat="1" x14ac:dyDescent="0.2">
      <c r="B25" s="133"/>
      <c r="Q25" s="129">
        <v>5.23</v>
      </c>
      <c r="S25" s="129">
        <f>(5.275+4.825)/2</f>
        <v>5.0500000000000007</v>
      </c>
      <c r="U25" s="129">
        <v>1</v>
      </c>
      <c r="W25" s="129">
        <f>Q25*S25*U25</f>
        <v>26.411500000000007</v>
      </c>
      <c r="X25" s="128"/>
    </row>
    <row r="26" spans="2:26" s="129" customFormat="1" x14ac:dyDescent="0.2">
      <c r="B26" s="133"/>
      <c r="G26" s="130" t="s">
        <v>121</v>
      </c>
      <c r="H26" s="129" t="s">
        <v>119</v>
      </c>
      <c r="Q26" s="129">
        <v>12.5</v>
      </c>
      <c r="S26" s="129">
        <v>4.8250000000000002</v>
      </c>
      <c r="U26" s="129">
        <v>1</v>
      </c>
      <c r="W26" s="129">
        <f t="shared" ref="W26:W28" si="0">Q26*S26*U26</f>
        <v>60.3125</v>
      </c>
      <c r="X26" s="128"/>
    </row>
    <row r="27" spans="2:26" s="129" customFormat="1" x14ac:dyDescent="0.2">
      <c r="B27" s="133"/>
      <c r="G27" s="130"/>
      <c r="H27" s="129" t="s">
        <v>120</v>
      </c>
      <c r="Q27" s="129">
        <v>5.2</v>
      </c>
      <c r="S27" s="129">
        <f>(5.275+4.825)/2</f>
        <v>5.0500000000000007</v>
      </c>
      <c r="U27" s="129">
        <v>1</v>
      </c>
      <c r="W27" s="129">
        <f t="shared" si="0"/>
        <v>26.260000000000005</v>
      </c>
      <c r="X27" s="128"/>
    </row>
    <row r="28" spans="2:26" s="129" customFormat="1" x14ac:dyDescent="0.2">
      <c r="B28" s="133"/>
      <c r="G28" s="130"/>
      <c r="Q28" s="129">
        <v>5.14</v>
      </c>
      <c r="S28" s="129">
        <f>(5.275+4.825)/2</f>
        <v>5.0500000000000007</v>
      </c>
      <c r="U28" s="129">
        <v>1</v>
      </c>
      <c r="W28" s="129">
        <f t="shared" si="0"/>
        <v>25.957000000000001</v>
      </c>
      <c r="X28" s="128"/>
    </row>
    <row r="29" spans="2:26" s="129" customFormat="1" x14ac:dyDescent="0.2">
      <c r="B29" s="133"/>
      <c r="G29" s="130"/>
      <c r="H29" s="137" t="s">
        <v>122</v>
      </c>
      <c r="I29" s="137"/>
      <c r="J29" s="137"/>
      <c r="K29" s="137"/>
      <c r="L29" s="137"/>
      <c r="M29" s="137"/>
      <c r="N29" s="137"/>
      <c r="O29" s="137"/>
      <c r="P29" s="137"/>
      <c r="Q29" s="137">
        <v>2.2000000000000002</v>
      </c>
      <c r="R29" s="137"/>
      <c r="S29" s="137">
        <v>4</v>
      </c>
      <c r="T29" s="137"/>
      <c r="U29" s="137">
        <f>-W49</f>
        <v>-2</v>
      </c>
      <c r="V29" s="137"/>
      <c r="W29" s="137">
        <f>Q29*S29*U29</f>
        <v>-17.600000000000001</v>
      </c>
      <c r="X29" s="128"/>
    </row>
    <row r="30" spans="2:26" s="129" customFormat="1" x14ac:dyDescent="0.2">
      <c r="B30" s="133"/>
      <c r="G30" s="130"/>
      <c r="H30" s="137" t="s">
        <v>123</v>
      </c>
      <c r="I30" s="137"/>
      <c r="J30" s="137"/>
      <c r="K30" s="137"/>
      <c r="L30" s="137"/>
      <c r="M30" s="137"/>
      <c r="N30" s="137"/>
      <c r="O30" s="137"/>
      <c r="P30" s="137"/>
      <c r="Q30" s="137">
        <v>1.44</v>
      </c>
      <c r="R30" s="137"/>
      <c r="S30" s="137">
        <v>1.4</v>
      </c>
      <c r="T30" s="137"/>
      <c r="U30" s="137">
        <f>-W57</f>
        <v>-2</v>
      </c>
      <c r="V30" s="137"/>
      <c r="W30" s="137">
        <f>Q30*S30*U30</f>
        <v>-4.032</v>
      </c>
      <c r="X30" s="128"/>
    </row>
    <row r="31" spans="2:26" s="129" customFormat="1" x14ac:dyDescent="0.2">
      <c r="B31" s="133"/>
      <c r="G31" s="130"/>
      <c r="X31" s="128"/>
    </row>
    <row r="32" spans="2:26" s="129" customFormat="1" x14ac:dyDescent="0.2">
      <c r="B32" s="133">
        <f>BOQ!A34</f>
        <v>2</v>
      </c>
      <c r="C32" s="129" t="str">
        <f>BOQ!B34</f>
        <v>Pekerjaan Cor Lantai 地面混凝土浇筑工程</v>
      </c>
      <c r="G32" s="130"/>
      <c r="X32" s="128"/>
    </row>
    <row r="33" spans="2:26" s="129" customFormat="1" x14ac:dyDescent="0.2">
      <c r="B33" s="133">
        <f>BOQ!A35</f>
        <v>0</v>
      </c>
      <c r="C33" s="129" t="str">
        <f>BOQ!B35</f>
        <v>scoope :</v>
      </c>
      <c r="G33" s="130"/>
      <c r="X33" s="128"/>
    </row>
    <row r="34" spans="2:26" s="129" customFormat="1" x14ac:dyDescent="0.2">
      <c r="B34" s="133" t="str">
        <f>BOQ!A36</f>
        <v>-</v>
      </c>
      <c r="C34" s="129" t="str">
        <f>BOQ!B36</f>
        <v>Plastik Cor 混凝土保护塑料膜</v>
      </c>
      <c r="G34" s="130"/>
      <c r="W34" s="136">
        <f>SUM(W35:W38)</f>
        <v>127.88315</v>
      </c>
      <c r="X34" s="138" t="s">
        <v>117</v>
      </c>
      <c r="Y34" s="129">
        <f>W34*3%</f>
        <v>3.8364944999999997</v>
      </c>
      <c r="Z34" s="129">
        <f>W34-Y34</f>
        <v>124.0466555</v>
      </c>
    </row>
    <row r="35" spans="2:26" s="129" customFormat="1" x14ac:dyDescent="0.2">
      <c r="B35" s="133"/>
      <c r="G35" s="130"/>
      <c r="Q35" s="129">
        <f>Q23</f>
        <v>12.43</v>
      </c>
      <c r="S35" s="129">
        <f>(5.18+5.23)/2</f>
        <v>5.2050000000000001</v>
      </c>
      <c r="U35" s="129">
        <v>1</v>
      </c>
      <c r="W35" s="129">
        <f>Q35*S35*U35</f>
        <v>64.698149999999998</v>
      </c>
      <c r="X35" s="128"/>
    </row>
    <row r="36" spans="2:26" s="129" customFormat="1" x14ac:dyDescent="0.2">
      <c r="B36" s="133"/>
      <c r="G36" s="130"/>
      <c r="Q36" s="129">
        <f>Q26</f>
        <v>12.5</v>
      </c>
      <c r="S36" s="129">
        <f>(5.2+5.14)/2</f>
        <v>5.17</v>
      </c>
      <c r="U36" s="129">
        <v>1</v>
      </c>
      <c r="W36" s="129">
        <f>Q36*S36*U36</f>
        <v>64.625</v>
      </c>
      <c r="X36" s="128"/>
    </row>
    <row r="37" spans="2:26" s="129" customFormat="1" x14ac:dyDescent="0.2">
      <c r="B37" s="133"/>
      <c r="G37" s="130"/>
      <c r="H37" s="137" t="s">
        <v>124</v>
      </c>
      <c r="Q37" s="137">
        <v>0.6</v>
      </c>
      <c r="R37" s="137"/>
      <c r="S37" s="137">
        <v>0.6</v>
      </c>
      <c r="T37" s="137"/>
      <c r="U37" s="137">
        <v>2</v>
      </c>
      <c r="V37" s="137">
        <v>-2</v>
      </c>
      <c r="W37" s="137">
        <f>Q37*S37*U37*V37</f>
        <v>-1.44</v>
      </c>
      <c r="X37" s="128"/>
    </row>
    <row r="38" spans="2:26" s="129" customFormat="1" x14ac:dyDescent="0.2">
      <c r="B38" s="133"/>
      <c r="G38" s="130"/>
      <c r="X38" s="128"/>
    </row>
    <row r="39" spans="2:26" s="129" customFormat="1" x14ac:dyDescent="0.2">
      <c r="B39" s="133" t="str">
        <f>BOQ!A37</f>
        <v>-</v>
      </c>
      <c r="C39" s="129" t="str">
        <f>BOQ!B37</f>
        <v>Wiremesh M8, 2 Lapis 钢筋网片</v>
      </c>
      <c r="G39" s="130"/>
      <c r="W39" s="129">
        <f>W34*2</f>
        <v>255.7663</v>
      </c>
      <c r="X39" s="128" t="s">
        <v>117</v>
      </c>
      <c r="Y39" s="129">
        <f>W39*3%</f>
        <v>7.6729889999999994</v>
      </c>
      <c r="Z39" s="129">
        <f>W39-Y39</f>
        <v>248.093311</v>
      </c>
    </row>
    <row r="40" spans="2:26" s="129" customFormat="1" x14ac:dyDescent="0.2">
      <c r="B40" s="133"/>
      <c r="G40" s="130"/>
      <c r="X40" s="128"/>
    </row>
    <row r="41" spans="2:26" s="129" customFormat="1" x14ac:dyDescent="0.2">
      <c r="B41" s="133" t="str">
        <f>BOQ!A38</f>
        <v>-</v>
      </c>
      <c r="C41" s="129" t="str">
        <f>BOQ!B38</f>
        <v>Bekisting 模板</v>
      </c>
      <c r="G41" s="130"/>
      <c r="U41" s="129">
        <v>2</v>
      </c>
      <c r="W41" s="136">
        <f>SUM(W42:W44)</f>
        <v>27.407999999999998</v>
      </c>
      <c r="X41" s="138" t="s">
        <v>117</v>
      </c>
      <c r="Y41" s="129">
        <f>W41*3%</f>
        <v>0.82223999999999986</v>
      </c>
      <c r="Z41" s="129">
        <f>W41-Y41</f>
        <v>26.585759999999997</v>
      </c>
    </row>
    <row r="42" spans="2:26" s="129" customFormat="1" x14ac:dyDescent="0.2">
      <c r="B42" s="133"/>
      <c r="G42" s="130"/>
      <c r="Q42" s="129">
        <f>Q46+R46*2</f>
        <v>22.84</v>
      </c>
      <c r="S42" s="129">
        <f>S46</f>
        <v>0.3</v>
      </c>
      <c r="U42" s="129">
        <v>2</v>
      </c>
      <c r="W42" s="129">
        <f>Q42*S42*U42</f>
        <v>13.703999999999999</v>
      </c>
      <c r="X42" s="128"/>
    </row>
    <row r="43" spans="2:26" s="129" customFormat="1" x14ac:dyDescent="0.2">
      <c r="B43" s="133"/>
      <c r="G43" s="130"/>
      <c r="Q43" s="129">
        <f>Q47+R47*2</f>
        <v>22.84</v>
      </c>
      <c r="S43" s="129">
        <f>S42</f>
        <v>0.3</v>
      </c>
      <c r="U43" s="129">
        <v>2</v>
      </c>
      <c r="W43" s="129">
        <f>Q43*S43*U43</f>
        <v>13.703999999999999</v>
      </c>
      <c r="X43" s="128"/>
    </row>
    <row r="44" spans="2:26" s="129" customFormat="1" x14ac:dyDescent="0.2">
      <c r="B44" s="133"/>
      <c r="G44" s="130"/>
      <c r="X44" s="128"/>
    </row>
    <row r="45" spans="2:26" s="129" customFormat="1" x14ac:dyDescent="0.2">
      <c r="B45" s="133" t="str">
        <f>BOQ!A39</f>
        <v>-</v>
      </c>
      <c r="C45" s="129" t="str">
        <f>BOQ!B39</f>
        <v>Beton K-350 混凝土</v>
      </c>
      <c r="G45" s="130"/>
      <c r="W45" s="136">
        <f>SUM(W46:W48)</f>
        <v>38.796944999999994</v>
      </c>
      <c r="X45" s="138" t="s">
        <v>125</v>
      </c>
      <c r="Y45" s="129">
        <f>W45*3%</f>
        <v>1.1639083499999998</v>
      </c>
      <c r="Z45" s="129">
        <f>W45-Y45</f>
        <v>37.633036649999994</v>
      </c>
    </row>
    <row r="46" spans="2:26" s="129" customFormat="1" x14ac:dyDescent="0.2">
      <c r="B46" s="133"/>
      <c r="G46" s="130"/>
      <c r="Q46" s="129">
        <f>Q35</f>
        <v>12.43</v>
      </c>
      <c r="R46" s="129">
        <f>S35</f>
        <v>5.2050000000000001</v>
      </c>
      <c r="S46" s="129">
        <v>0.3</v>
      </c>
      <c r="U46" s="129">
        <v>1</v>
      </c>
      <c r="W46" s="129">
        <f>Q46*R46*S46*U46</f>
        <v>19.409444999999998</v>
      </c>
      <c r="X46" s="128"/>
    </row>
    <row r="47" spans="2:26" s="129" customFormat="1" x14ac:dyDescent="0.2">
      <c r="B47" s="133"/>
      <c r="G47" s="130"/>
      <c r="Q47" s="129">
        <f>Q36</f>
        <v>12.5</v>
      </c>
      <c r="R47" s="129">
        <f>S36</f>
        <v>5.17</v>
      </c>
      <c r="S47" s="129">
        <f>S46</f>
        <v>0.3</v>
      </c>
      <c r="U47" s="129">
        <v>1</v>
      </c>
      <c r="W47" s="129">
        <f>Q47*R47*S47*U47</f>
        <v>19.387499999999999</v>
      </c>
      <c r="X47" s="128"/>
    </row>
    <row r="48" spans="2:26" s="129" customFormat="1" x14ac:dyDescent="0.2">
      <c r="B48" s="133"/>
      <c r="G48" s="130"/>
      <c r="X48" s="128"/>
    </row>
    <row r="49" spans="2:24" s="129" customFormat="1" x14ac:dyDescent="0.2">
      <c r="B49" s="133">
        <f>BOQ!A41</f>
        <v>3</v>
      </c>
      <c r="C49" s="129" t="str">
        <f>BOQ!B41</f>
        <v>Pintu Double Swing uk. 2200x4000mm 双开门</v>
      </c>
      <c r="G49" s="130"/>
      <c r="W49" s="129">
        <v>2</v>
      </c>
      <c r="X49" s="128" t="s">
        <v>126</v>
      </c>
    </row>
    <row r="50" spans="2:24" s="129" customFormat="1" x14ac:dyDescent="0.2">
      <c r="B50" s="133">
        <f>BOQ!A42</f>
        <v>0</v>
      </c>
      <c r="C50" s="129" t="str">
        <f>BOQ!B42</f>
        <v>Spek :</v>
      </c>
      <c r="G50" s="130"/>
      <c r="X50" s="128"/>
    </row>
    <row r="51" spans="2:24" s="129" customFormat="1" x14ac:dyDescent="0.2">
      <c r="B51" s="133" t="str">
        <f>BOQ!A43</f>
        <v>-</v>
      </c>
      <c r="C51" s="129" t="str">
        <f>BOQ!B43</f>
        <v>Kusen Hollow 100x100x3mm 门框采用100x100x3mm方管</v>
      </c>
      <c r="G51" s="130"/>
      <c r="X51" s="128"/>
    </row>
    <row r="52" spans="2:24" s="129" customFormat="1" x14ac:dyDescent="0.2">
      <c r="B52" s="133" t="str">
        <f>BOQ!A44</f>
        <v>-</v>
      </c>
      <c r="C52" s="129" t="str">
        <f>BOQ!B44</f>
        <v>Siku 50x50x5mm 角钢</v>
      </c>
      <c r="G52" s="130"/>
      <c r="X52" s="128"/>
    </row>
    <row r="53" spans="2:24" s="129" customFormat="1" x14ac:dyDescent="0.2">
      <c r="B53" s="133" t="str">
        <f>BOQ!A45</f>
        <v>-</v>
      </c>
      <c r="C53" s="129" t="str">
        <f>BOQ!B45</f>
        <v>Partisi UPVC Single Layer 单层UPVC隔断</v>
      </c>
      <c r="G53" s="130"/>
      <c r="X53" s="128"/>
    </row>
    <row r="54" spans="2:24" s="129" customFormat="1" x14ac:dyDescent="0.2">
      <c r="B54" s="133" t="str">
        <f>BOQ!A46</f>
        <v>-</v>
      </c>
      <c r="C54" s="129" t="str">
        <f>BOQ!B46</f>
        <v>Finishing Cat Besi 钢结构油漆饰面</v>
      </c>
      <c r="G54" s="130"/>
      <c r="X54" s="128"/>
    </row>
    <row r="55" spans="2:24" s="129" customFormat="1" x14ac:dyDescent="0.2">
      <c r="B55" s="133" t="str">
        <f>BOQ!A47</f>
        <v>-</v>
      </c>
      <c r="C55" s="129" t="str">
        <f>BOQ!B47</f>
        <v>Aksesoris 门配件</v>
      </c>
      <c r="G55" s="130"/>
      <c r="X55" s="128"/>
    </row>
    <row r="56" spans="2:24" s="129" customFormat="1" x14ac:dyDescent="0.2">
      <c r="B56" s="133"/>
      <c r="G56" s="130"/>
      <c r="X56" s="128"/>
    </row>
    <row r="57" spans="2:24" s="129" customFormat="1" x14ac:dyDescent="0.2">
      <c r="B57" s="133">
        <f>BOQ!A49</f>
        <v>4</v>
      </c>
      <c r="C57" s="129" t="str">
        <f>BOQ!B49</f>
        <v>Jendela Sliding (J1), uk. 144x140 cm J1型推拉窗，尺寸144×140cm</v>
      </c>
      <c r="G57" s="130"/>
      <c r="W57" s="129">
        <v>2</v>
      </c>
      <c r="X57" s="128" t="s">
        <v>126</v>
      </c>
    </row>
    <row r="58" spans="2:24" s="129" customFormat="1" x14ac:dyDescent="0.2">
      <c r="B58" s="133">
        <f>BOQ!A50</f>
        <v>0</v>
      </c>
      <c r="C58" s="129" t="str">
        <f>BOQ!B50</f>
        <v>Spek :</v>
      </c>
    </row>
    <row r="59" spans="2:24" s="129" customFormat="1" x14ac:dyDescent="0.2">
      <c r="B59" s="133" t="str">
        <f>BOQ!A51</f>
        <v>-</v>
      </c>
      <c r="C59" s="129" t="str">
        <f>BOQ!B51</f>
        <v>Daun Pintu Aluminium 4" 铝合金窗扇</v>
      </c>
      <c r="G59" s="130"/>
      <c r="X59" s="128"/>
    </row>
    <row r="60" spans="2:24" s="129" customFormat="1" x14ac:dyDescent="0.2">
      <c r="B60" s="133" t="str">
        <f>BOQ!A52</f>
        <v>-</v>
      </c>
      <c r="C60" s="129" t="str">
        <f>BOQ!B52</f>
        <v>Kaca Polos 5mm 5mm透明玻璃</v>
      </c>
      <c r="G60" s="130"/>
      <c r="X60" s="128"/>
    </row>
    <row r="61" spans="2:24" s="129" customFormat="1" x14ac:dyDescent="0.2">
      <c r="B61" s="133" t="str">
        <f>BOQ!A53</f>
        <v>-</v>
      </c>
      <c r="C61" s="129" t="str">
        <f>BOQ!B53</f>
        <v>Aksesoris 配件</v>
      </c>
      <c r="G61" s="130"/>
      <c r="X61" s="128"/>
    </row>
    <row r="62" spans="2:24" s="129" customFormat="1" x14ac:dyDescent="0.2">
      <c r="B62" s="133"/>
      <c r="G62" s="130"/>
      <c r="X62" s="128"/>
    </row>
    <row r="63" spans="2:24" s="129" customFormat="1" x14ac:dyDescent="0.2">
      <c r="B63" s="133">
        <f>BOQ!A55</f>
        <v>5</v>
      </c>
      <c r="C63" s="129" t="str">
        <f>BOQ!B55</f>
        <v>Tutup Manhole uk. 600x600mm 检查井盖板，尺寸600x600mm</v>
      </c>
      <c r="G63" s="130"/>
      <c r="U63" s="129">
        <v>2</v>
      </c>
      <c r="V63" s="129">
        <v>2</v>
      </c>
      <c r="W63" s="129">
        <f>U63*V63</f>
        <v>4</v>
      </c>
      <c r="X63" s="128" t="s">
        <v>126</v>
      </c>
    </row>
    <row r="64" spans="2:24" s="129" customFormat="1" ht="15" x14ac:dyDescent="0.25">
      <c r="B64" s="133">
        <f>BOQ!A56</f>
        <v>0</v>
      </c>
      <c r="C64" s="129" t="str">
        <f>BOQ!B56</f>
        <v>Spek :</v>
      </c>
      <c r="G64" s="130"/>
      <c r="W64" s="132"/>
      <c r="X64" s="131"/>
    </row>
    <row r="65" spans="2:26" s="129" customFormat="1" x14ac:dyDescent="0.2">
      <c r="B65" s="133" t="str">
        <f>BOQ!A57</f>
        <v>-</v>
      </c>
      <c r="C65" s="129" t="str">
        <f>BOQ!B57</f>
        <v>Siku 50x50x5mm 角钢</v>
      </c>
      <c r="G65" s="130"/>
      <c r="X65" s="128"/>
    </row>
    <row r="66" spans="2:26" s="129" customFormat="1" x14ac:dyDescent="0.2">
      <c r="B66" s="133" t="str">
        <f>BOQ!A58</f>
        <v>-</v>
      </c>
      <c r="C66" s="129" t="str">
        <f>BOQ!B58</f>
        <v>Plat Bordes 4,5mm 4.5mm花纹钢板</v>
      </c>
      <c r="G66" s="130"/>
      <c r="X66" s="128"/>
    </row>
    <row r="67" spans="2:26" s="129" customFormat="1" x14ac:dyDescent="0.2">
      <c r="B67" s="133" t="str">
        <f>BOQ!A59</f>
        <v>-</v>
      </c>
      <c r="C67" s="129" t="str">
        <f>BOQ!B59</f>
        <v>Finishing Cat Besi 钢结构油漆饰面</v>
      </c>
      <c r="G67" s="130"/>
      <c r="X67" s="128"/>
    </row>
    <row r="68" spans="2:26" s="129" customFormat="1" x14ac:dyDescent="0.2">
      <c r="B68" s="133"/>
      <c r="G68" s="130"/>
      <c r="W68" s="129">
        <v>5.2</v>
      </c>
      <c r="X68" s="128" t="s">
        <v>127</v>
      </c>
    </row>
    <row r="69" spans="2:26" s="129" customFormat="1" x14ac:dyDescent="0.2">
      <c r="B69" s="133">
        <f>BOQ!A61</f>
        <v>6</v>
      </c>
      <c r="C69" s="129" t="str">
        <f>BOQ!B61</f>
        <v>Tanggulan 10cm 高挡土埂</v>
      </c>
      <c r="G69" s="130"/>
      <c r="X69" s="128"/>
    </row>
    <row r="70" spans="2:26" s="129" customFormat="1" x14ac:dyDescent="0.2">
      <c r="B70" s="133"/>
      <c r="G70" s="130"/>
      <c r="X70" s="128"/>
    </row>
    <row r="71" spans="2:26" s="132" customFormat="1" ht="15" x14ac:dyDescent="0.25">
      <c r="B71" s="134">
        <f>BOQ!A63</f>
        <v>0</v>
      </c>
      <c r="C71" s="132" t="str">
        <f>BOQ!B63</f>
        <v>*Note : Pekerjaan 2 Unit Ruang Selasar 两间连廊空间施工</v>
      </c>
      <c r="G71" s="135"/>
      <c r="Q71" s="129"/>
      <c r="R71" s="129"/>
      <c r="S71" s="129"/>
      <c r="T71" s="129"/>
      <c r="U71" s="129"/>
      <c r="V71" s="129"/>
      <c r="W71" s="129"/>
      <c r="X71" s="128"/>
    </row>
    <row r="72" spans="2:26" s="129" customFormat="1" x14ac:dyDescent="0.2">
      <c r="B72" s="133"/>
      <c r="G72" s="130"/>
      <c r="X72" s="128"/>
    </row>
    <row r="73" spans="2:26" s="132" customFormat="1" ht="15" x14ac:dyDescent="0.25">
      <c r="B73" s="134" t="str">
        <f>BOQ!A65</f>
        <v>C</v>
      </c>
      <c r="C73" s="132" t="str">
        <f>BOQ!B65</f>
        <v>PENAMBAHAN SEKAT DINDING, PINTU DAN JENDELA KANTIN KARYAWAN 员工食堂隔墙、门窗增设工程</v>
      </c>
      <c r="G73" s="135"/>
      <c r="X73" s="131"/>
    </row>
    <row r="74" spans="2:26" s="129" customFormat="1" x14ac:dyDescent="0.2">
      <c r="B74" s="133">
        <f>BOQ!A66</f>
        <v>1</v>
      </c>
      <c r="C74" s="129" t="str">
        <f>BOQ!B66</f>
        <v>Bongkaran Dinding Existing 现有墙体拆除工程</v>
      </c>
      <c r="G74" s="130"/>
      <c r="Q74" s="129">
        <v>1.4</v>
      </c>
      <c r="R74" s="129">
        <v>1.2</v>
      </c>
      <c r="V74" s="129">
        <v>1</v>
      </c>
      <c r="W74" s="129">
        <f>Q74*R74*V74</f>
        <v>1.68</v>
      </c>
      <c r="X74" s="128" t="s">
        <v>117</v>
      </c>
      <c r="Y74" s="129">
        <f t="shared" ref="Y74:Y76" si="1">W74*3%</f>
        <v>5.0399999999999993E-2</v>
      </c>
      <c r="Z74" s="129">
        <f t="shared" ref="Z74:Z76" si="2">W74-Y74</f>
        <v>1.6295999999999999</v>
      </c>
    </row>
    <row r="75" spans="2:26" s="129" customFormat="1" x14ac:dyDescent="0.2">
      <c r="B75" s="133">
        <f>BOQ!A67</f>
        <v>2</v>
      </c>
      <c r="C75" s="129" t="str">
        <f>BOQ!B67</f>
        <v>Perapihan Dinding 墙面修复及整理工程</v>
      </c>
      <c r="G75" s="130"/>
      <c r="Q75" s="129">
        <f>Q74</f>
        <v>1.4</v>
      </c>
      <c r="R75" s="129">
        <f>R74</f>
        <v>1.2</v>
      </c>
      <c r="V75" s="129">
        <v>2</v>
      </c>
      <c r="W75" s="129">
        <f>(Q75+R75)*V75</f>
        <v>5.1999999999999993</v>
      </c>
      <c r="X75" s="128" t="s">
        <v>127</v>
      </c>
      <c r="Y75" s="129">
        <f t="shared" si="1"/>
        <v>0.15599999999999997</v>
      </c>
      <c r="Z75" s="129">
        <f t="shared" si="2"/>
        <v>5.0439999999999996</v>
      </c>
    </row>
    <row r="76" spans="2:26" s="129" customFormat="1" x14ac:dyDescent="0.2">
      <c r="B76" s="133">
        <f>BOQ!A68</f>
        <v>3</v>
      </c>
      <c r="C76" s="129" t="str">
        <f>BOQ!B68</f>
        <v>Dinding Bata Ringan 轻质砖墙</v>
      </c>
      <c r="G76" s="130"/>
      <c r="W76" s="136">
        <f>SUM(W77:W80)</f>
        <v>10.676000000000002</v>
      </c>
      <c r="X76" s="138" t="s">
        <v>117</v>
      </c>
      <c r="Y76" s="129">
        <f t="shared" si="1"/>
        <v>0.32028000000000006</v>
      </c>
      <c r="Z76" s="129">
        <f t="shared" si="2"/>
        <v>10.355720000000002</v>
      </c>
    </row>
    <row r="77" spans="2:26" s="129" customFormat="1" x14ac:dyDescent="0.2">
      <c r="B77" s="133"/>
      <c r="G77" s="130"/>
      <c r="Q77" s="129">
        <v>1.83</v>
      </c>
      <c r="R77" s="129">
        <v>3.7</v>
      </c>
      <c r="V77" s="129">
        <v>1</v>
      </c>
      <c r="W77" s="129">
        <f t="shared" ref="W77:W79" si="3">Q77*R77*V77</f>
        <v>6.7710000000000008</v>
      </c>
      <c r="X77" s="128"/>
    </row>
    <row r="78" spans="2:26" s="129" customFormat="1" x14ac:dyDescent="0.2">
      <c r="B78" s="133"/>
      <c r="G78" s="130"/>
      <c r="Q78" s="129">
        <v>1.65</v>
      </c>
      <c r="R78" s="129">
        <f>R77</f>
        <v>3.7</v>
      </c>
      <c r="V78" s="129">
        <v>1</v>
      </c>
      <c r="W78" s="129">
        <f t="shared" si="3"/>
        <v>6.1049999999999995</v>
      </c>
      <c r="X78" s="128"/>
    </row>
    <row r="79" spans="2:26" s="129" customFormat="1" x14ac:dyDescent="0.2">
      <c r="B79" s="133"/>
      <c r="G79" s="130"/>
      <c r="Q79" s="137">
        <v>1</v>
      </c>
      <c r="R79" s="137">
        <v>2.2000000000000002</v>
      </c>
      <c r="S79" s="137"/>
      <c r="T79" s="137"/>
      <c r="U79" s="137"/>
      <c r="V79" s="137">
        <v>-1</v>
      </c>
      <c r="W79" s="137">
        <f t="shared" si="3"/>
        <v>-2.2000000000000002</v>
      </c>
      <c r="X79" s="128"/>
    </row>
    <row r="80" spans="2:26" s="129" customFormat="1" x14ac:dyDescent="0.2">
      <c r="B80" s="133"/>
      <c r="G80" s="130"/>
      <c r="Q80" s="137"/>
      <c r="R80" s="137"/>
      <c r="S80" s="137"/>
      <c r="T80" s="137"/>
      <c r="U80" s="137"/>
      <c r="V80" s="137"/>
      <c r="W80" s="137"/>
      <c r="X80" s="128"/>
    </row>
    <row r="81" spans="2:26" s="129" customFormat="1" x14ac:dyDescent="0.2">
      <c r="B81" s="133">
        <f>BOQ!A69</f>
        <v>4</v>
      </c>
      <c r="C81" s="129" t="str">
        <f>BOQ!B69</f>
        <v>Plesteran &amp; Acian Dinding 墙面抹灰及找平</v>
      </c>
      <c r="G81" s="130"/>
      <c r="W81" s="129">
        <f>W76*2</f>
        <v>21.352000000000004</v>
      </c>
      <c r="X81" s="128" t="s">
        <v>117</v>
      </c>
      <c r="Y81" s="129">
        <f>W81*3%</f>
        <v>0.64056000000000013</v>
      </c>
      <c r="Z81" s="129">
        <f>W81-Y81</f>
        <v>20.711440000000003</v>
      </c>
    </row>
    <row r="82" spans="2:26" s="129" customFormat="1" x14ac:dyDescent="0.2">
      <c r="B82" s="133">
        <f>BOQ!A70</f>
        <v>5</v>
      </c>
      <c r="C82" s="129" t="str">
        <f>BOQ!B70</f>
        <v>Finishing Cat Dinding 墙面油漆饰面</v>
      </c>
      <c r="G82" s="130"/>
      <c r="W82" s="129">
        <f>W81</f>
        <v>21.352000000000004</v>
      </c>
      <c r="X82" s="128" t="s">
        <v>117</v>
      </c>
      <c r="Y82" s="129">
        <f>W82*3%</f>
        <v>0.64056000000000013</v>
      </c>
      <c r="Z82" s="129">
        <f>W82-Y82</f>
        <v>20.711440000000003</v>
      </c>
    </row>
    <row r="83" spans="2:26" s="129" customFormat="1" x14ac:dyDescent="0.2">
      <c r="B83" s="133">
        <f>BOQ!A71</f>
        <v>6</v>
      </c>
      <c r="C83" s="129" t="str">
        <f>BOQ!B71</f>
        <v>Kolom &amp; Balok Praktis 构造柱及圈梁</v>
      </c>
      <c r="G83" s="130"/>
      <c r="S83" s="129">
        <f>R77</f>
        <v>3.7</v>
      </c>
      <c r="V83" s="129">
        <v>1</v>
      </c>
      <c r="W83" s="129">
        <f>S83*V83</f>
        <v>3.7</v>
      </c>
      <c r="X83" s="128" t="s">
        <v>127</v>
      </c>
      <c r="Y83" s="129">
        <f>W83*3%</f>
        <v>0.111</v>
      </c>
      <c r="Z83" s="129">
        <f>W83-Y83</f>
        <v>3.589</v>
      </c>
    </row>
    <row r="84" spans="2:26" s="129" customFormat="1" x14ac:dyDescent="0.2">
      <c r="B84" s="133">
        <f>BOQ!A72</f>
        <v>7</v>
      </c>
      <c r="C84" s="129" t="str">
        <f>BOQ!B72</f>
        <v>Pintu Single Swing uk. 100x220cm 单开平开门 尺寸100×220厘米</v>
      </c>
      <c r="G84" s="130"/>
      <c r="W84" s="129">
        <v>1</v>
      </c>
      <c r="X84" s="128" t="s">
        <v>126</v>
      </c>
    </row>
    <row r="85" spans="2:26" s="129" customFormat="1" x14ac:dyDescent="0.2">
      <c r="B85" s="133">
        <f>BOQ!A73</f>
        <v>0</v>
      </c>
      <c r="C85" s="129" t="str">
        <f>BOQ!B73</f>
        <v>Spek :</v>
      </c>
      <c r="G85" s="130"/>
      <c r="X85" s="128"/>
    </row>
    <row r="86" spans="2:26" s="129" customFormat="1" x14ac:dyDescent="0.2">
      <c r="B86" s="133" t="str">
        <f>BOQ!A74</f>
        <v>-</v>
      </c>
      <c r="C86" s="129" t="str">
        <f>BOQ!B74</f>
        <v>Kusen Aluminium 4" Warna Putih 铝合金框</v>
      </c>
      <c r="G86" s="130"/>
      <c r="X86" s="128"/>
    </row>
    <row r="87" spans="2:26" s="129" customFormat="1" x14ac:dyDescent="0.2">
      <c r="B87" s="133" t="str">
        <f>BOQ!A75</f>
        <v>-</v>
      </c>
      <c r="C87" s="129" t="str">
        <f>BOQ!B75</f>
        <v>Kaca Rayban Hitam</v>
      </c>
      <c r="G87" s="130"/>
      <c r="X87" s="128"/>
    </row>
    <row r="88" spans="2:26" s="129" customFormat="1" x14ac:dyDescent="0.2">
      <c r="B88" s="133" t="str">
        <f>BOQ!A76</f>
        <v>-</v>
      </c>
      <c r="C88" s="129" t="str">
        <f>BOQ!B76</f>
        <v>Aksesoris 配件</v>
      </c>
      <c r="G88" s="130"/>
      <c r="X88" s="128"/>
    </row>
    <row r="89" spans="2:26" s="129" customFormat="1" x14ac:dyDescent="0.2">
      <c r="B89" s="133"/>
      <c r="G89" s="130"/>
      <c r="X89" s="128"/>
    </row>
    <row r="90" spans="2:26" s="129" customFormat="1" x14ac:dyDescent="0.2">
      <c r="B90" s="133">
        <f>BOQ!A78</f>
        <v>8</v>
      </c>
      <c r="C90" s="129" t="str">
        <f>BOQ!B78</f>
        <v>Jendela Sliding (J1), uk. 144x120 cm J1型推拉窗，尺寸144×120cm</v>
      </c>
      <c r="G90" s="130"/>
    </row>
    <row r="91" spans="2:26" s="129" customFormat="1" x14ac:dyDescent="0.2">
      <c r="B91" s="133">
        <f>BOQ!A79</f>
        <v>0</v>
      </c>
      <c r="C91" s="129" t="str">
        <f>BOQ!B79</f>
        <v>Spek :</v>
      </c>
      <c r="G91" s="130"/>
      <c r="X91" s="128"/>
    </row>
    <row r="92" spans="2:26" s="129" customFormat="1" x14ac:dyDescent="0.2">
      <c r="B92" s="133" t="str">
        <f>BOQ!A80</f>
        <v>-</v>
      </c>
      <c r="C92" s="129" t="str">
        <f>BOQ!B80</f>
        <v>Daun Pintu Aluminium 4" 铝合金窗扇</v>
      </c>
      <c r="G92" s="130"/>
      <c r="W92" s="129">
        <v>1</v>
      </c>
      <c r="X92" s="128" t="s">
        <v>126</v>
      </c>
    </row>
    <row r="93" spans="2:26" s="129" customFormat="1" x14ac:dyDescent="0.2">
      <c r="B93" s="133" t="str">
        <f>BOQ!A81</f>
        <v>-</v>
      </c>
      <c r="C93" s="129" t="str">
        <f>BOQ!B81</f>
        <v>Kaca Polos 5mm 5mm透明玻璃</v>
      </c>
      <c r="G93" s="130"/>
      <c r="X93" s="128"/>
    </row>
    <row r="94" spans="2:26" s="129" customFormat="1" x14ac:dyDescent="0.2">
      <c r="B94" s="133" t="str">
        <f>BOQ!A82</f>
        <v>-</v>
      </c>
      <c r="C94" s="129" t="str">
        <f>BOQ!B82</f>
        <v>Aksesoris 配件</v>
      </c>
      <c r="G94" s="130"/>
      <c r="X94" s="128"/>
    </row>
    <row r="95" spans="2:26" s="129" customFormat="1" x14ac:dyDescent="0.2">
      <c r="B95" s="133"/>
      <c r="G95" s="130"/>
      <c r="X95" s="128"/>
    </row>
    <row r="96" spans="2:26" s="129" customFormat="1" x14ac:dyDescent="0.2">
      <c r="B96" s="133"/>
      <c r="G96" s="130"/>
      <c r="X96" s="128"/>
    </row>
    <row r="97" spans="2:24" s="129" customFormat="1" x14ac:dyDescent="0.2">
      <c r="B97" s="128"/>
      <c r="G97" s="130"/>
      <c r="X97" s="128"/>
    </row>
    <row r="98" spans="2:24" s="129" customFormat="1" x14ac:dyDescent="0.2">
      <c r="B98" s="128"/>
      <c r="G98" s="130"/>
      <c r="X98" s="128"/>
    </row>
    <row r="99" spans="2:24" s="129" customFormat="1" x14ac:dyDescent="0.2">
      <c r="B99" s="128"/>
      <c r="G99" s="130"/>
      <c r="X99" s="128"/>
    </row>
    <row r="100" spans="2:24" s="129" customFormat="1" x14ac:dyDescent="0.2">
      <c r="B100" s="128"/>
      <c r="G100" s="130"/>
      <c r="X100" s="128"/>
    </row>
    <row r="101" spans="2:24" s="129" customFormat="1" x14ac:dyDescent="0.2">
      <c r="B101" s="128"/>
      <c r="G101" s="130"/>
      <c r="X101" s="128"/>
    </row>
    <row r="102" spans="2:24" s="129" customFormat="1" x14ac:dyDescent="0.2">
      <c r="B102" s="128"/>
      <c r="G102" s="130"/>
      <c r="X102" s="128"/>
    </row>
    <row r="103" spans="2:24" s="129" customFormat="1" x14ac:dyDescent="0.2">
      <c r="B103" s="128"/>
      <c r="G103" s="130"/>
      <c r="X103" s="128"/>
    </row>
    <row r="104" spans="2:24" s="129" customFormat="1" x14ac:dyDescent="0.2">
      <c r="B104" s="128"/>
      <c r="G104" s="130"/>
      <c r="X104" s="128"/>
    </row>
    <row r="105" spans="2:24" s="129" customFormat="1" x14ac:dyDescent="0.2">
      <c r="B105" s="128"/>
      <c r="G105" s="130"/>
      <c r="X105" s="128"/>
    </row>
    <row r="106" spans="2:24" s="129" customFormat="1" x14ac:dyDescent="0.2">
      <c r="B106" s="128"/>
      <c r="G106" s="130"/>
      <c r="X106" s="128"/>
    </row>
    <row r="107" spans="2:24" s="129" customFormat="1" x14ac:dyDescent="0.2">
      <c r="B107" s="128"/>
      <c r="G107" s="130"/>
      <c r="X107" s="128"/>
    </row>
    <row r="108" spans="2:24" s="129" customFormat="1" x14ac:dyDescent="0.2">
      <c r="B108" s="128"/>
      <c r="G108" s="130"/>
      <c r="X108" s="128"/>
    </row>
    <row r="109" spans="2:24" s="129" customFormat="1" x14ac:dyDescent="0.2">
      <c r="B109" s="128"/>
      <c r="G109" s="130"/>
      <c r="X109" s="128"/>
    </row>
    <row r="110" spans="2:24" s="129" customFormat="1" x14ac:dyDescent="0.2">
      <c r="B110" s="128"/>
      <c r="G110" s="130"/>
      <c r="X110" s="128"/>
    </row>
    <row r="111" spans="2:24" s="129" customFormat="1" x14ac:dyDescent="0.2">
      <c r="B111" s="128"/>
      <c r="G111" s="130"/>
      <c r="X111" s="128"/>
    </row>
    <row r="112" spans="2:24" s="129" customFormat="1" x14ac:dyDescent="0.2">
      <c r="B112" s="128"/>
      <c r="G112" s="130"/>
      <c r="X112" s="128"/>
    </row>
    <row r="113" spans="2:24" s="129" customFormat="1" x14ac:dyDescent="0.2">
      <c r="B113" s="128"/>
      <c r="G113" s="130"/>
      <c r="X113" s="128"/>
    </row>
    <row r="114" spans="2:24" s="129" customFormat="1" x14ac:dyDescent="0.2">
      <c r="B114" s="128"/>
      <c r="G114" s="130"/>
      <c r="X114" s="128"/>
    </row>
    <row r="115" spans="2:24" s="129" customFormat="1" x14ac:dyDescent="0.2">
      <c r="B115" s="128"/>
      <c r="G115" s="130"/>
      <c r="X115" s="128"/>
    </row>
    <row r="116" spans="2:24" s="129" customFormat="1" x14ac:dyDescent="0.2">
      <c r="B116" s="128"/>
      <c r="G116" s="130"/>
      <c r="X116" s="128"/>
    </row>
    <row r="117" spans="2:24" s="129" customFormat="1" x14ac:dyDescent="0.2">
      <c r="B117" s="128"/>
      <c r="G117" s="130"/>
      <c r="X117" s="128"/>
    </row>
    <row r="118" spans="2:24" s="129" customFormat="1" x14ac:dyDescent="0.2">
      <c r="B118" s="128"/>
      <c r="G118" s="130"/>
      <c r="X118" s="128"/>
    </row>
    <row r="119" spans="2:24" s="129" customFormat="1" x14ac:dyDescent="0.2">
      <c r="B119" s="128"/>
      <c r="G119" s="130"/>
      <c r="X119" s="128"/>
    </row>
    <row r="120" spans="2:24" s="129" customFormat="1" x14ac:dyDescent="0.2">
      <c r="B120" s="128"/>
      <c r="G120" s="130"/>
      <c r="X120" s="128"/>
    </row>
    <row r="121" spans="2:24" s="129" customFormat="1" x14ac:dyDescent="0.2">
      <c r="B121" s="128"/>
      <c r="G121" s="130"/>
      <c r="X121" s="128"/>
    </row>
    <row r="122" spans="2:24" s="129" customFormat="1" x14ac:dyDescent="0.2">
      <c r="B122" s="128"/>
      <c r="G122" s="130"/>
      <c r="X122" s="128"/>
    </row>
    <row r="123" spans="2:24" s="129" customFormat="1" x14ac:dyDescent="0.2">
      <c r="B123" s="128"/>
      <c r="G123" s="130"/>
      <c r="X123" s="128"/>
    </row>
    <row r="124" spans="2:24" s="129" customFormat="1" x14ac:dyDescent="0.2">
      <c r="B124" s="128"/>
      <c r="G124" s="130"/>
      <c r="X124" s="128"/>
    </row>
    <row r="125" spans="2:24" s="129" customFormat="1" x14ac:dyDescent="0.2">
      <c r="B125" s="128"/>
      <c r="G125" s="130"/>
      <c r="X125" s="128"/>
    </row>
    <row r="126" spans="2:24" s="129" customFormat="1" x14ac:dyDescent="0.2">
      <c r="B126" s="128"/>
      <c r="G126" s="130"/>
      <c r="X126" s="128"/>
    </row>
    <row r="127" spans="2:24" s="129" customFormat="1" x14ac:dyDescent="0.2">
      <c r="B127" s="128"/>
      <c r="G127" s="130"/>
      <c r="X127" s="128"/>
    </row>
    <row r="128" spans="2:24" s="129" customFormat="1" x14ac:dyDescent="0.2">
      <c r="B128" s="128"/>
      <c r="G128" s="130"/>
      <c r="X128" s="128"/>
    </row>
    <row r="129" spans="2:24" s="129" customFormat="1" x14ac:dyDescent="0.2">
      <c r="B129" s="128"/>
      <c r="G129" s="130"/>
      <c r="X129" s="128"/>
    </row>
    <row r="130" spans="2:24" s="129" customFormat="1" x14ac:dyDescent="0.2">
      <c r="B130" s="128"/>
      <c r="G130" s="130"/>
      <c r="X130" s="128"/>
    </row>
    <row r="131" spans="2:24" s="129" customFormat="1" x14ac:dyDescent="0.2">
      <c r="B131" s="128"/>
      <c r="G131" s="130"/>
      <c r="X131" s="128"/>
    </row>
    <row r="132" spans="2:24" s="129" customFormat="1" x14ac:dyDescent="0.2">
      <c r="B132" s="128"/>
      <c r="G132" s="130"/>
      <c r="X132" s="128"/>
    </row>
    <row r="133" spans="2:24" s="129" customFormat="1" x14ac:dyDescent="0.2">
      <c r="B133" s="128"/>
      <c r="G133" s="130"/>
      <c r="X133" s="128"/>
    </row>
    <row r="134" spans="2:24" s="129" customFormat="1" x14ac:dyDescent="0.2">
      <c r="B134" s="128"/>
      <c r="G134" s="130"/>
      <c r="X134" s="128"/>
    </row>
    <row r="135" spans="2:24" s="129" customFormat="1" x14ac:dyDescent="0.2">
      <c r="B135" s="128"/>
      <c r="G135" s="130"/>
      <c r="X135" s="128"/>
    </row>
    <row r="136" spans="2:24" s="129" customFormat="1" x14ac:dyDescent="0.2">
      <c r="B136" s="128"/>
      <c r="G136" s="130"/>
      <c r="X136" s="128"/>
    </row>
    <row r="137" spans="2:24" s="129" customFormat="1" x14ac:dyDescent="0.2">
      <c r="B137" s="128"/>
      <c r="G137" s="130"/>
      <c r="X137" s="128"/>
    </row>
    <row r="138" spans="2:24" s="129" customFormat="1" x14ac:dyDescent="0.2">
      <c r="B138" s="128"/>
      <c r="G138" s="130"/>
      <c r="X138" s="128"/>
    </row>
    <row r="139" spans="2:24" s="129" customFormat="1" x14ac:dyDescent="0.2">
      <c r="B139" s="128"/>
      <c r="G139" s="130"/>
      <c r="X139" s="128"/>
    </row>
    <row r="140" spans="2:24" s="129" customFormat="1" x14ac:dyDescent="0.2">
      <c r="B140" s="128"/>
      <c r="G140" s="130"/>
      <c r="X140" s="128"/>
    </row>
    <row r="141" spans="2:24" s="129" customFormat="1" x14ac:dyDescent="0.2">
      <c r="B141" s="128"/>
      <c r="G141" s="130"/>
      <c r="X141" s="128"/>
    </row>
    <row r="142" spans="2:24" s="129" customFormat="1" x14ac:dyDescent="0.2">
      <c r="B142" s="128"/>
      <c r="G142" s="130"/>
      <c r="X142" s="128"/>
    </row>
    <row r="143" spans="2:24" s="129" customFormat="1" x14ac:dyDescent="0.2">
      <c r="B143" s="128"/>
      <c r="G143" s="130"/>
      <c r="X143" s="128"/>
    </row>
    <row r="144" spans="2:24" s="129" customFormat="1" x14ac:dyDescent="0.2">
      <c r="B144" s="128"/>
      <c r="G144" s="130"/>
      <c r="X144" s="128"/>
    </row>
    <row r="145" spans="2:24" s="129" customFormat="1" x14ac:dyDescent="0.2">
      <c r="B145" s="128"/>
      <c r="G145" s="130"/>
      <c r="X145" s="128"/>
    </row>
    <row r="146" spans="2:24" s="129" customFormat="1" x14ac:dyDescent="0.2">
      <c r="B146" s="128"/>
      <c r="G146" s="130"/>
      <c r="X146" s="128"/>
    </row>
    <row r="147" spans="2:24" s="129" customFormat="1" x14ac:dyDescent="0.2">
      <c r="B147" s="128"/>
      <c r="G147" s="130"/>
      <c r="X147" s="128"/>
    </row>
    <row r="148" spans="2:24" s="129" customFormat="1" x14ac:dyDescent="0.2">
      <c r="B148" s="128"/>
      <c r="G148" s="130"/>
      <c r="X148" s="128"/>
    </row>
    <row r="149" spans="2:24" s="129" customFormat="1" x14ac:dyDescent="0.2">
      <c r="B149" s="128"/>
      <c r="G149" s="130"/>
      <c r="X149" s="128"/>
    </row>
    <row r="150" spans="2:24" s="129" customFormat="1" x14ac:dyDescent="0.2">
      <c r="B150" s="128"/>
      <c r="G150" s="130"/>
      <c r="X150" s="128"/>
    </row>
    <row r="151" spans="2:24" s="129" customFormat="1" x14ac:dyDescent="0.2">
      <c r="B151" s="128"/>
      <c r="G151" s="130"/>
      <c r="X151" s="128"/>
    </row>
    <row r="152" spans="2:24" s="129" customFormat="1" x14ac:dyDescent="0.2">
      <c r="B152" s="128"/>
      <c r="G152" s="130"/>
      <c r="X152" s="128"/>
    </row>
    <row r="153" spans="2:24" s="129" customFormat="1" x14ac:dyDescent="0.2">
      <c r="B153" s="128"/>
      <c r="G153" s="130"/>
      <c r="X153" s="128"/>
    </row>
    <row r="154" spans="2:24" s="129" customFormat="1" x14ac:dyDescent="0.2">
      <c r="B154" s="128"/>
      <c r="G154" s="130"/>
      <c r="X154" s="128"/>
    </row>
    <row r="155" spans="2:24" s="129" customFormat="1" x14ac:dyDescent="0.2">
      <c r="B155" s="128"/>
      <c r="G155" s="130"/>
      <c r="X155" s="128"/>
    </row>
    <row r="156" spans="2:24" s="129" customFormat="1" x14ac:dyDescent="0.2">
      <c r="B156" s="128"/>
      <c r="G156" s="130"/>
      <c r="X156" s="128"/>
    </row>
    <row r="157" spans="2:24" s="129" customFormat="1" x14ac:dyDescent="0.2">
      <c r="B157" s="128"/>
      <c r="G157" s="130"/>
      <c r="X157" s="128"/>
    </row>
    <row r="158" spans="2:24" s="129" customFormat="1" x14ac:dyDescent="0.2">
      <c r="B158" s="128"/>
      <c r="G158" s="130"/>
      <c r="X158" s="128"/>
    </row>
    <row r="159" spans="2:24" s="129" customFormat="1" x14ac:dyDescent="0.2">
      <c r="B159" s="128"/>
      <c r="G159" s="130"/>
      <c r="X159" s="128"/>
    </row>
    <row r="160" spans="2:24" s="129" customFormat="1" x14ac:dyDescent="0.2">
      <c r="B160" s="128"/>
      <c r="G160" s="130"/>
      <c r="X160" s="128"/>
    </row>
    <row r="161" spans="2:24" s="129" customFormat="1" x14ac:dyDescent="0.2">
      <c r="B161" s="128"/>
      <c r="G161" s="130"/>
      <c r="X161" s="128"/>
    </row>
    <row r="162" spans="2:24" s="129" customFormat="1" x14ac:dyDescent="0.2">
      <c r="B162" s="128"/>
      <c r="G162" s="130"/>
      <c r="X162" s="128"/>
    </row>
    <row r="163" spans="2:24" s="129" customFormat="1" x14ac:dyDescent="0.2">
      <c r="B163" s="128"/>
      <c r="G163" s="130"/>
      <c r="X163" s="128"/>
    </row>
    <row r="164" spans="2:24" s="129" customFormat="1" x14ac:dyDescent="0.2">
      <c r="B164" s="128"/>
      <c r="G164" s="130"/>
      <c r="X164" s="128"/>
    </row>
    <row r="165" spans="2:24" s="129" customFormat="1" x14ac:dyDescent="0.2">
      <c r="B165" s="128"/>
      <c r="G165" s="130"/>
      <c r="X165" s="128"/>
    </row>
    <row r="166" spans="2:24" s="129" customFormat="1" x14ac:dyDescent="0.2">
      <c r="B166" s="128"/>
      <c r="G166" s="130"/>
      <c r="X166" s="128"/>
    </row>
    <row r="167" spans="2:24" s="129" customFormat="1" x14ac:dyDescent="0.2">
      <c r="B167" s="128"/>
      <c r="G167" s="130"/>
      <c r="X167" s="128"/>
    </row>
    <row r="168" spans="2:24" s="129" customFormat="1" x14ac:dyDescent="0.2">
      <c r="B168" s="128"/>
      <c r="G168" s="130"/>
      <c r="X168" s="128"/>
    </row>
    <row r="169" spans="2:24" s="129" customFormat="1" x14ac:dyDescent="0.2">
      <c r="B169" s="128"/>
      <c r="G169" s="130"/>
      <c r="X169" s="128"/>
    </row>
    <row r="170" spans="2:24" s="129" customFormat="1" x14ac:dyDescent="0.2">
      <c r="B170" s="128"/>
      <c r="G170" s="130"/>
      <c r="X170" s="128"/>
    </row>
    <row r="171" spans="2:24" s="129" customFormat="1" x14ac:dyDescent="0.2">
      <c r="B171" s="128"/>
      <c r="G171" s="130"/>
      <c r="X171" s="128"/>
    </row>
    <row r="172" spans="2:24" s="129" customFormat="1" x14ac:dyDescent="0.2">
      <c r="B172" s="128"/>
      <c r="G172" s="130"/>
      <c r="X172" s="128"/>
    </row>
    <row r="173" spans="2:24" s="129" customFormat="1" x14ac:dyDescent="0.2">
      <c r="B173" s="128"/>
      <c r="G173" s="130"/>
      <c r="X173" s="128"/>
    </row>
    <row r="174" spans="2:24" s="129" customFormat="1" x14ac:dyDescent="0.2">
      <c r="B174" s="128"/>
      <c r="G174" s="130"/>
      <c r="X174" s="128"/>
    </row>
    <row r="175" spans="2:24" s="129" customFormat="1" x14ac:dyDescent="0.2">
      <c r="B175" s="128"/>
      <c r="G175" s="130"/>
      <c r="X175" s="128"/>
    </row>
    <row r="176" spans="2:24" s="129" customFormat="1" x14ac:dyDescent="0.2">
      <c r="B176" s="128"/>
      <c r="G176" s="130"/>
      <c r="X176" s="128"/>
    </row>
    <row r="177" spans="2:24" s="129" customFormat="1" x14ac:dyDescent="0.2">
      <c r="B177" s="128"/>
      <c r="G177" s="130"/>
      <c r="X177" s="128"/>
    </row>
    <row r="178" spans="2:24" s="129" customFormat="1" x14ac:dyDescent="0.2">
      <c r="B178" s="128"/>
      <c r="G178" s="130"/>
      <c r="X178" s="128"/>
    </row>
    <row r="179" spans="2:24" s="129" customFormat="1" x14ac:dyDescent="0.2">
      <c r="B179" s="128"/>
      <c r="G179" s="130"/>
      <c r="X179" s="128"/>
    </row>
    <row r="180" spans="2:24" s="129" customFormat="1" x14ac:dyDescent="0.2">
      <c r="B180" s="128"/>
      <c r="G180" s="130"/>
      <c r="X180" s="128"/>
    </row>
    <row r="181" spans="2:24" s="129" customFormat="1" x14ac:dyDescent="0.2">
      <c r="B181" s="128"/>
      <c r="G181" s="130"/>
      <c r="X181" s="128"/>
    </row>
    <row r="182" spans="2:24" s="129" customFormat="1" x14ac:dyDescent="0.2">
      <c r="B182" s="128"/>
      <c r="G182" s="130"/>
      <c r="X182" s="128"/>
    </row>
    <row r="183" spans="2:24" s="129" customFormat="1" x14ac:dyDescent="0.2">
      <c r="B183" s="128"/>
      <c r="G183" s="130"/>
      <c r="X183" s="128"/>
    </row>
    <row r="184" spans="2:24" s="129" customFormat="1" x14ac:dyDescent="0.2">
      <c r="B184" s="128"/>
      <c r="G184" s="130"/>
      <c r="X184" s="128"/>
    </row>
    <row r="185" spans="2:24" s="129" customFormat="1" x14ac:dyDescent="0.2">
      <c r="B185" s="128"/>
      <c r="G185" s="130"/>
      <c r="X185" s="128"/>
    </row>
    <row r="186" spans="2:24" s="129" customFormat="1" x14ac:dyDescent="0.2">
      <c r="B186" s="128"/>
      <c r="G186" s="130"/>
      <c r="X186" s="128"/>
    </row>
    <row r="187" spans="2:24" s="129" customFormat="1" x14ac:dyDescent="0.2">
      <c r="B187" s="128"/>
      <c r="G187" s="130"/>
      <c r="X187" s="128"/>
    </row>
    <row r="188" spans="2:24" s="129" customFormat="1" x14ac:dyDescent="0.2">
      <c r="B188" s="128"/>
      <c r="G188" s="130"/>
      <c r="X188" s="128"/>
    </row>
    <row r="189" spans="2:24" s="129" customFormat="1" x14ac:dyDescent="0.2">
      <c r="B189" s="128"/>
      <c r="G189" s="130"/>
      <c r="X189" s="128"/>
    </row>
    <row r="190" spans="2:24" s="129" customFormat="1" x14ac:dyDescent="0.2">
      <c r="B190" s="128"/>
      <c r="G190" s="130"/>
      <c r="X190" s="128"/>
    </row>
    <row r="191" spans="2:24" s="129" customFormat="1" x14ac:dyDescent="0.2">
      <c r="B191" s="128"/>
      <c r="G191" s="130"/>
      <c r="X191" s="128"/>
    </row>
    <row r="192" spans="2:24" s="129" customFormat="1" x14ac:dyDescent="0.2">
      <c r="B192" s="128"/>
      <c r="G192" s="130"/>
      <c r="X192" s="128"/>
    </row>
    <row r="193" spans="2:24" s="129" customFormat="1" x14ac:dyDescent="0.2">
      <c r="B193" s="128"/>
      <c r="G193" s="130"/>
      <c r="X193" s="128"/>
    </row>
    <row r="194" spans="2:24" s="129" customFormat="1" x14ac:dyDescent="0.2">
      <c r="B194" s="128"/>
      <c r="G194" s="130"/>
      <c r="X194" s="128"/>
    </row>
    <row r="195" spans="2:24" s="129" customFormat="1" x14ac:dyDescent="0.2">
      <c r="B195" s="128"/>
      <c r="G195" s="130"/>
      <c r="X195" s="128"/>
    </row>
    <row r="196" spans="2:24" s="129" customFormat="1" x14ac:dyDescent="0.2">
      <c r="B196" s="128"/>
      <c r="G196" s="130"/>
      <c r="X196" s="128"/>
    </row>
    <row r="197" spans="2:24" s="129" customFormat="1" x14ac:dyDescent="0.2">
      <c r="B197" s="128"/>
      <c r="G197" s="130"/>
      <c r="X197" s="128"/>
    </row>
    <row r="198" spans="2:24" s="129" customFormat="1" x14ac:dyDescent="0.2">
      <c r="B198" s="128"/>
      <c r="G198" s="130"/>
      <c r="X198" s="128"/>
    </row>
    <row r="199" spans="2:24" s="129" customFormat="1" x14ac:dyDescent="0.2">
      <c r="B199" s="128"/>
      <c r="G199" s="130"/>
      <c r="X199" s="128"/>
    </row>
    <row r="200" spans="2:24" s="129" customFormat="1" x14ac:dyDescent="0.2">
      <c r="B200" s="128"/>
      <c r="G200" s="130"/>
      <c r="X200" s="128"/>
    </row>
    <row r="201" spans="2:24" s="129" customFormat="1" x14ac:dyDescent="0.2">
      <c r="B201" s="128"/>
      <c r="G201" s="130"/>
      <c r="X201" s="128"/>
    </row>
    <row r="202" spans="2:24" s="129" customFormat="1" x14ac:dyDescent="0.2">
      <c r="B202" s="128"/>
      <c r="G202" s="130"/>
      <c r="X202" s="128"/>
    </row>
    <row r="203" spans="2:24" s="129" customFormat="1" x14ac:dyDescent="0.2">
      <c r="B203" s="128"/>
      <c r="G203" s="130"/>
      <c r="X203" s="128"/>
    </row>
    <row r="204" spans="2:24" s="129" customFormat="1" x14ac:dyDescent="0.2">
      <c r="B204" s="128"/>
      <c r="G204" s="130"/>
      <c r="X204" s="128"/>
    </row>
    <row r="205" spans="2:24" s="129" customFormat="1" x14ac:dyDescent="0.2">
      <c r="B205" s="128"/>
      <c r="G205" s="130"/>
      <c r="X205" s="128"/>
    </row>
    <row r="206" spans="2:24" s="129" customFormat="1" x14ac:dyDescent="0.2">
      <c r="B206" s="128"/>
      <c r="G206" s="130"/>
      <c r="X206" s="128"/>
    </row>
    <row r="207" spans="2:24" s="129" customFormat="1" x14ac:dyDescent="0.2">
      <c r="B207" s="128"/>
      <c r="G207" s="130"/>
      <c r="X207" s="128"/>
    </row>
    <row r="208" spans="2:24" s="129" customFormat="1" x14ac:dyDescent="0.2">
      <c r="B208" s="128"/>
      <c r="G208" s="130"/>
      <c r="X208" s="128"/>
    </row>
    <row r="209" spans="2:24" s="129" customFormat="1" x14ac:dyDescent="0.2">
      <c r="B209" s="128"/>
      <c r="G209" s="130"/>
      <c r="X209" s="128"/>
    </row>
    <row r="210" spans="2:24" s="129" customFormat="1" x14ac:dyDescent="0.2">
      <c r="B210" s="128"/>
      <c r="G210" s="130"/>
      <c r="X210" s="128"/>
    </row>
    <row r="211" spans="2:24" s="129" customFormat="1" x14ac:dyDescent="0.2">
      <c r="B211" s="128"/>
      <c r="G211" s="130"/>
      <c r="X211" s="128"/>
    </row>
    <row r="212" spans="2:24" s="129" customFormat="1" x14ac:dyDescent="0.2">
      <c r="B212" s="128"/>
      <c r="G212" s="130"/>
      <c r="X212" s="128"/>
    </row>
    <row r="213" spans="2:24" s="129" customFormat="1" x14ac:dyDescent="0.2">
      <c r="B213" s="128"/>
      <c r="G213" s="130"/>
      <c r="X213" s="128"/>
    </row>
    <row r="214" spans="2:24" s="129" customFormat="1" x14ac:dyDescent="0.2">
      <c r="B214" s="128"/>
      <c r="G214" s="130"/>
      <c r="X214" s="128"/>
    </row>
    <row r="215" spans="2:24" s="129" customFormat="1" x14ac:dyDescent="0.2">
      <c r="B215" s="128"/>
      <c r="G215" s="130"/>
      <c r="X215" s="128"/>
    </row>
    <row r="216" spans="2:24" s="129" customFormat="1" x14ac:dyDescent="0.2">
      <c r="B216" s="128"/>
      <c r="G216" s="130"/>
      <c r="X216" s="128"/>
    </row>
    <row r="217" spans="2:24" s="129" customFormat="1" x14ac:dyDescent="0.2">
      <c r="B217" s="128"/>
      <c r="G217" s="130"/>
      <c r="X217" s="128"/>
    </row>
    <row r="218" spans="2:24" s="129" customFormat="1" x14ac:dyDescent="0.2">
      <c r="B218" s="128"/>
      <c r="G218" s="130"/>
      <c r="X218" s="128"/>
    </row>
    <row r="219" spans="2:24" s="129" customFormat="1" x14ac:dyDescent="0.2">
      <c r="B219" s="128"/>
      <c r="G219" s="130"/>
      <c r="X219" s="128"/>
    </row>
    <row r="220" spans="2:24" s="129" customFormat="1" x14ac:dyDescent="0.2">
      <c r="B220" s="128"/>
      <c r="G220" s="130"/>
      <c r="X220" s="128"/>
    </row>
    <row r="221" spans="2:24" s="129" customFormat="1" x14ac:dyDescent="0.2">
      <c r="B221" s="128"/>
      <c r="G221" s="130"/>
      <c r="X221" s="128"/>
    </row>
    <row r="222" spans="2:24" s="129" customFormat="1" x14ac:dyDescent="0.2">
      <c r="B222" s="128"/>
      <c r="G222" s="130"/>
      <c r="X222" s="128"/>
    </row>
    <row r="223" spans="2:24" s="129" customFormat="1" x14ac:dyDescent="0.2">
      <c r="B223" s="128"/>
      <c r="G223" s="130"/>
      <c r="X223" s="128"/>
    </row>
    <row r="224" spans="2:24" s="129" customFormat="1" x14ac:dyDescent="0.2">
      <c r="B224" s="128"/>
      <c r="G224" s="130"/>
      <c r="X224" s="128"/>
    </row>
    <row r="225" spans="2:24" s="129" customFormat="1" x14ac:dyDescent="0.2">
      <c r="B225" s="128"/>
      <c r="G225" s="130"/>
      <c r="X225" s="128"/>
    </row>
    <row r="226" spans="2:24" s="129" customFormat="1" x14ac:dyDescent="0.2">
      <c r="B226" s="128"/>
      <c r="G226" s="130"/>
      <c r="X226" s="128"/>
    </row>
    <row r="227" spans="2:24" s="129" customFormat="1" x14ac:dyDescent="0.2">
      <c r="B227" s="128"/>
      <c r="G227" s="130"/>
      <c r="X227" s="128"/>
    </row>
    <row r="228" spans="2:24" s="129" customFormat="1" x14ac:dyDescent="0.2">
      <c r="B228" s="128"/>
      <c r="G228" s="130"/>
      <c r="X228" s="128"/>
    </row>
    <row r="229" spans="2:24" s="129" customFormat="1" x14ac:dyDescent="0.2">
      <c r="B229" s="128"/>
      <c r="G229" s="130"/>
      <c r="X229" s="128"/>
    </row>
    <row r="230" spans="2:24" s="129" customFormat="1" x14ac:dyDescent="0.2">
      <c r="B230" s="128"/>
      <c r="G230" s="130"/>
      <c r="X230" s="128"/>
    </row>
    <row r="231" spans="2:24" s="129" customFormat="1" x14ac:dyDescent="0.2">
      <c r="B231" s="128"/>
      <c r="G231" s="130"/>
      <c r="X231" s="128"/>
    </row>
    <row r="232" spans="2:24" s="129" customFormat="1" x14ac:dyDescent="0.2">
      <c r="B232" s="128"/>
      <c r="G232" s="130"/>
      <c r="X232" s="128"/>
    </row>
    <row r="233" spans="2:24" s="129" customFormat="1" x14ac:dyDescent="0.2">
      <c r="B233" s="128"/>
      <c r="G233" s="130"/>
      <c r="X233" s="128"/>
    </row>
    <row r="234" spans="2:24" s="129" customFormat="1" x14ac:dyDescent="0.2">
      <c r="B234" s="128"/>
      <c r="G234" s="130"/>
      <c r="X234" s="128"/>
    </row>
    <row r="235" spans="2:24" s="129" customFormat="1" x14ac:dyDescent="0.2">
      <c r="B235" s="128"/>
      <c r="G235" s="130"/>
      <c r="X235" s="128"/>
    </row>
    <row r="236" spans="2:24" s="129" customFormat="1" x14ac:dyDescent="0.2">
      <c r="B236" s="128"/>
      <c r="G236" s="130"/>
      <c r="X236" s="128"/>
    </row>
    <row r="237" spans="2:24" s="129" customFormat="1" x14ac:dyDescent="0.2">
      <c r="B237" s="128"/>
      <c r="G237" s="130"/>
      <c r="X237" s="128"/>
    </row>
    <row r="238" spans="2:24" s="129" customFormat="1" x14ac:dyDescent="0.2">
      <c r="B238" s="128"/>
      <c r="G238" s="130"/>
      <c r="X238" s="128"/>
    </row>
    <row r="239" spans="2:24" s="129" customFormat="1" x14ac:dyDescent="0.2">
      <c r="B239" s="128"/>
      <c r="G239" s="130"/>
      <c r="X239" s="128"/>
    </row>
    <row r="240" spans="2:24" s="129" customFormat="1" x14ac:dyDescent="0.2">
      <c r="B240" s="128"/>
      <c r="G240" s="130"/>
      <c r="X240" s="128"/>
    </row>
    <row r="241" spans="2:24" s="129" customFormat="1" x14ac:dyDescent="0.2">
      <c r="B241" s="128"/>
      <c r="G241" s="130"/>
      <c r="X241" s="128"/>
    </row>
    <row r="242" spans="2:24" s="129" customFormat="1" x14ac:dyDescent="0.2">
      <c r="B242" s="128"/>
      <c r="G242" s="130"/>
      <c r="X242" s="128"/>
    </row>
    <row r="243" spans="2:24" s="129" customFormat="1" x14ac:dyDescent="0.2">
      <c r="B243" s="128"/>
      <c r="G243" s="130"/>
      <c r="X243" s="128"/>
    </row>
    <row r="244" spans="2:24" s="129" customFormat="1" x14ac:dyDescent="0.2">
      <c r="B244" s="128"/>
      <c r="G244" s="130"/>
      <c r="X244" s="128"/>
    </row>
    <row r="245" spans="2:24" s="129" customFormat="1" x14ac:dyDescent="0.2">
      <c r="B245" s="128"/>
      <c r="G245" s="130"/>
      <c r="X245" s="128"/>
    </row>
    <row r="246" spans="2:24" s="129" customFormat="1" x14ac:dyDescent="0.2">
      <c r="B246" s="128"/>
      <c r="G246" s="130"/>
      <c r="X246" s="128"/>
    </row>
    <row r="247" spans="2:24" s="129" customFormat="1" x14ac:dyDescent="0.2">
      <c r="B247" s="128"/>
      <c r="G247" s="130"/>
      <c r="X247" s="128"/>
    </row>
    <row r="248" spans="2:24" s="129" customFormat="1" x14ac:dyDescent="0.2">
      <c r="B248" s="128"/>
      <c r="G248" s="130"/>
      <c r="X248" s="128"/>
    </row>
    <row r="249" spans="2:24" s="129" customFormat="1" x14ac:dyDescent="0.2">
      <c r="B249" s="128"/>
      <c r="G249" s="130"/>
      <c r="X249" s="128"/>
    </row>
    <row r="250" spans="2:24" s="129" customFormat="1" x14ac:dyDescent="0.2">
      <c r="B250" s="128"/>
      <c r="G250" s="130"/>
      <c r="X250" s="128"/>
    </row>
    <row r="251" spans="2:24" s="129" customFormat="1" x14ac:dyDescent="0.2">
      <c r="B251" s="128"/>
      <c r="G251" s="130"/>
      <c r="X251" s="128"/>
    </row>
    <row r="252" spans="2:24" s="129" customFormat="1" x14ac:dyDescent="0.2">
      <c r="B252" s="128"/>
      <c r="G252" s="130"/>
      <c r="X252" s="128"/>
    </row>
    <row r="253" spans="2:24" s="129" customFormat="1" x14ac:dyDescent="0.2">
      <c r="B253" s="128"/>
      <c r="G253" s="130"/>
      <c r="X253" s="128"/>
    </row>
    <row r="254" spans="2:24" s="129" customFormat="1" x14ac:dyDescent="0.2">
      <c r="B254" s="128"/>
      <c r="G254" s="130"/>
      <c r="X254" s="128"/>
    </row>
    <row r="255" spans="2:24" s="129" customFormat="1" x14ac:dyDescent="0.2">
      <c r="B255" s="128"/>
      <c r="G255" s="130"/>
      <c r="X255" s="128"/>
    </row>
    <row r="256" spans="2:24" s="129" customFormat="1" x14ac:dyDescent="0.2">
      <c r="B256" s="128"/>
      <c r="G256" s="130"/>
      <c r="X256" s="128"/>
    </row>
    <row r="257" spans="2:24" s="129" customFormat="1" x14ac:dyDescent="0.2">
      <c r="B257" s="128"/>
      <c r="G257" s="130"/>
      <c r="X257" s="128"/>
    </row>
    <row r="258" spans="2:24" s="129" customFormat="1" x14ac:dyDescent="0.2">
      <c r="B258" s="128"/>
      <c r="G258" s="130"/>
      <c r="X258" s="128"/>
    </row>
    <row r="259" spans="2:24" s="129" customFormat="1" x14ac:dyDescent="0.2">
      <c r="B259" s="128"/>
      <c r="G259" s="130"/>
      <c r="X259" s="128"/>
    </row>
    <row r="260" spans="2:24" s="129" customFormat="1" x14ac:dyDescent="0.2">
      <c r="B260" s="128"/>
      <c r="G260" s="130"/>
      <c r="X260" s="128"/>
    </row>
    <row r="261" spans="2:24" s="129" customFormat="1" x14ac:dyDescent="0.2">
      <c r="B261" s="128"/>
      <c r="G261" s="130"/>
      <c r="X261" s="128"/>
    </row>
    <row r="262" spans="2:24" s="129" customFormat="1" x14ac:dyDescent="0.2">
      <c r="B262" s="128"/>
      <c r="G262" s="130"/>
      <c r="X262" s="128"/>
    </row>
    <row r="263" spans="2:24" s="129" customFormat="1" x14ac:dyDescent="0.2">
      <c r="B263" s="128"/>
      <c r="G263" s="130"/>
      <c r="X263" s="128"/>
    </row>
    <row r="264" spans="2:24" s="129" customFormat="1" x14ac:dyDescent="0.2">
      <c r="B264" s="128"/>
      <c r="G264" s="130"/>
      <c r="X264" s="128"/>
    </row>
    <row r="265" spans="2:24" s="129" customFormat="1" x14ac:dyDescent="0.2">
      <c r="B265" s="128"/>
      <c r="G265" s="130"/>
      <c r="X265" s="128"/>
    </row>
    <row r="266" spans="2:24" s="129" customFormat="1" x14ac:dyDescent="0.2">
      <c r="B266" s="128"/>
      <c r="G266" s="130"/>
      <c r="X266" s="128"/>
    </row>
    <row r="267" spans="2:24" s="129" customFormat="1" x14ac:dyDescent="0.2">
      <c r="B267" s="128"/>
      <c r="G267" s="130"/>
      <c r="X267" s="128"/>
    </row>
    <row r="268" spans="2:24" s="129" customFormat="1" x14ac:dyDescent="0.2">
      <c r="B268" s="128"/>
      <c r="G268" s="130"/>
      <c r="X268" s="128"/>
    </row>
    <row r="269" spans="2:24" s="129" customFormat="1" x14ac:dyDescent="0.2">
      <c r="B269" s="128"/>
      <c r="G269" s="130"/>
      <c r="X269" s="128"/>
    </row>
    <row r="270" spans="2:24" s="129" customFormat="1" x14ac:dyDescent="0.2">
      <c r="B270" s="128"/>
      <c r="G270" s="130"/>
      <c r="X270" s="128"/>
    </row>
    <row r="271" spans="2:24" s="129" customFormat="1" x14ac:dyDescent="0.2">
      <c r="B271" s="128"/>
      <c r="G271" s="130"/>
      <c r="X271" s="128"/>
    </row>
    <row r="272" spans="2:24" s="129" customFormat="1" x14ac:dyDescent="0.2">
      <c r="B272" s="128"/>
      <c r="G272" s="130"/>
      <c r="X272" s="128"/>
    </row>
    <row r="273" spans="2:24" s="129" customFormat="1" x14ac:dyDescent="0.2">
      <c r="B273" s="128"/>
      <c r="G273" s="130"/>
      <c r="X273" s="128"/>
    </row>
    <row r="274" spans="2:24" s="129" customFormat="1" x14ac:dyDescent="0.2">
      <c r="B274" s="128"/>
      <c r="G274" s="130"/>
      <c r="X274" s="128"/>
    </row>
    <row r="275" spans="2:24" s="129" customFormat="1" x14ac:dyDescent="0.2">
      <c r="B275" s="128"/>
      <c r="G275" s="130"/>
      <c r="X275" s="128"/>
    </row>
    <row r="276" spans="2:24" s="129" customFormat="1" x14ac:dyDescent="0.2">
      <c r="B276" s="128"/>
      <c r="G276" s="130"/>
      <c r="X276" s="128"/>
    </row>
    <row r="277" spans="2:24" s="129" customFormat="1" x14ac:dyDescent="0.2">
      <c r="B277" s="128"/>
      <c r="G277" s="130"/>
      <c r="X277" s="128"/>
    </row>
    <row r="278" spans="2:24" s="129" customFormat="1" x14ac:dyDescent="0.2">
      <c r="B278" s="128"/>
      <c r="G278" s="130"/>
      <c r="X278" s="128"/>
    </row>
    <row r="279" spans="2:24" s="129" customFormat="1" x14ac:dyDescent="0.2">
      <c r="B279" s="128"/>
      <c r="G279" s="130"/>
      <c r="X279" s="128"/>
    </row>
    <row r="280" spans="2:24" x14ac:dyDescent="0.2">
      <c r="Q280" s="129"/>
      <c r="R280" s="129"/>
      <c r="S280" s="129"/>
      <c r="T280" s="129"/>
      <c r="U280" s="129"/>
      <c r="V280" s="129"/>
      <c r="W280" s="129"/>
      <c r="X280" s="128"/>
    </row>
    <row r="281" spans="2:24" x14ac:dyDescent="0.2">
      <c r="Q281" s="129"/>
      <c r="R281" s="129"/>
      <c r="S281" s="129"/>
      <c r="T281" s="129"/>
      <c r="U281" s="129"/>
      <c r="V281" s="129"/>
      <c r="W281" s="129"/>
      <c r="X281" s="128"/>
    </row>
  </sheetData>
  <mergeCells count="18">
    <mergeCell ref="W6:W8"/>
    <mergeCell ref="X6:X8"/>
    <mergeCell ref="I7:I8"/>
    <mergeCell ref="J7:J8"/>
    <mergeCell ref="K7:K8"/>
    <mergeCell ref="L7:L8"/>
    <mergeCell ref="M7:M8"/>
    <mergeCell ref="N7:N8"/>
    <mergeCell ref="O7:O8"/>
    <mergeCell ref="P7:P8"/>
    <mergeCell ref="B6:B8"/>
    <mergeCell ref="C6:G8"/>
    <mergeCell ref="H6:H8"/>
    <mergeCell ref="I6:P6"/>
    <mergeCell ref="Q6:U6"/>
    <mergeCell ref="V6:V8"/>
    <mergeCell ref="T7:T8"/>
    <mergeCell ref="U7:U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BOQ</vt:lpstr>
      <vt:lpstr>VOL</vt:lpstr>
      <vt:lpstr>BOQ!Print_Titles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Mjk Estimator78</dc:creator>
  <cp:lastModifiedBy>Mjk Estimator78</cp:lastModifiedBy>
  <cp:lastPrinted>2026-07-03T09:58:44Z</cp:lastPrinted>
  <dcterms:created xsi:type="dcterms:W3CDTF">2026-07-03T09:58:01Z</dcterms:created>
  <dcterms:modified xsi:type="dcterms:W3CDTF">2026-07-03T09:59:05Z</dcterms:modified>
</cp:coreProperties>
</file>